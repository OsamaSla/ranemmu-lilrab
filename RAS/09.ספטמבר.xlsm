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sama\Desktop\"/>
    </mc:Choice>
  </mc:AlternateContent>
  <xr:revisionPtr revIDLastSave="0" documentId="13_ncr:1_{7790203E-1B23-4054-9342-1756ED48FF99}" xr6:coauthVersionLast="47" xr6:coauthVersionMax="47" xr10:uidLastSave="{00000000-0000-0000-0000-000000000000}"/>
  <bookViews>
    <workbookView xWindow="-120" yWindow="-120" windowWidth="29040" windowHeight="15720" tabRatio="727" firstSheet="4" activeTab="10" xr2:uid="{00000000-000D-0000-FFFF-FFFF00000000}"/>
  </bookViews>
  <sheets>
    <sheet name="Sheet1" sheetId="1259" r:id="rId1"/>
    <sheet name="רושדי טאהא .5" sheetId="1260" r:id="rId2"/>
    <sheet name="רמי אבו אחמד .7" sheetId="1261" r:id="rId3"/>
    <sheet name="סרי אבו אחמד .10" sheetId="1262" r:id="rId4"/>
    <sheet name="אברהים משאקי .11" sheetId="1263" r:id="rId5"/>
    <sheet name="אברהים גריפאת .14" sheetId="1264" r:id="rId6"/>
    <sheet name="אוסאמה סלייח .15" sheetId="1265" r:id="rId7"/>
    <sheet name="מאלק שרארה .19" sheetId="1266" r:id="rId8"/>
    <sheet name="סלים מסרי .23" sheetId="1267" r:id="rId9"/>
    <sheet name="מחמד חמדאן .25" sheetId="1268" r:id="rId10"/>
    <sheet name="סיכום" sheetId="1269" r:id="rId11"/>
  </sheets>
  <definedNames>
    <definedName name="Sheet1" localSheetId="0">Sheet1!$A$1:$E$1</definedName>
    <definedName name="Sheet1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6" i="1268" l="1"/>
  <c r="F37" i="1268" s="1"/>
  <c r="F34" i="1268"/>
  <c r="E32" i="1267"/>
  <c r="F32" i="1267" s="1"/>
  <c r="F31" i="1267"/>
  <c r="E31" i="1267"/>
  <c r="E30" i="1267"/>
  <c r="F30" i="1267" s="1"/>
  <c r="F29" i="1267"/>
  <c r="E29" i="1267"/>
  <c r="E27" i="1267"/>
  <c r="F27" i="1267" s="1"/>
  <c r="F26" i="1267"/>
  <c r="E26" i="1267"/>
  <c r="E25" i="1267"/>
  <c r="F25" i="1267" s="1"/>
  <c r="F24" i="1267"/>
  <c r="E24" i="1267"/>
  <c r="E22" i="1267"/>
  <c r="F22" i="1267" s="1"/>
  <c r="F20" i="1267"/>
  <c r="E20" i="1267"/>
  <c r="E19" i="1267"/>
  <c r="F19" i="1267" s="1"/>
  <c r="F18" i="1267"/>
  <c r="E18" i="1267"/>
  <c r="E17" i="1267"/>
  <c r="F17" i="1267" s="1"/>
  <c r="F16" i="1267"/>
  <c r="E16" i="1267"/>
  <c r="E15" i="1267"/>
  <c r="F15" i="1267" s="1"/>
  <c r="F13" i="1267"/>
  <c r="E13" i="1267"/>
  <c r="E12" i="1267"/>
  <c r="F12" i="1267" s="1"/>
  <c r="F11" i="1267"/>
  <c r="E11" i="1267"/>
  <c r="E10" i="1267"/>
  <c r="F10" i="1267" s="1"/>
  <c r="F9" i="1267"/>
  <c r="E9" i="1267"/>
  <c r="E8" i="1267"/>
  <c r="F8" i="1267" s="1"/>
  <c r="F6" i="1267"/>
  <c r="E6" i="1267"/>
  <c r="E5" i="1267"/>
  <c r="F5" i="1267" s="1"/>
  <c r="F4" i="1267"/>
  <c r="E4" i="1267"/>
  <c r="E3" i="1267"/>
  <c r="F3" i="1267" s="1"/>
  <c r="F32" i="1266"/>
  <c r="E32" i="1266"/>
  <c r="F31" i="1266"/>
  <c r="E31" i="1266"/>
  <c r="F30" i="1266"/>
  <c r="E30" i="1266"/>
  <c r="F29" i="1266"/>
  <c r="E29" i="1266"/>
  <c r="F27" i="1266"/>
  <c r="E27" i="1266"/>
  <c r="F26" i="1266"/>
  <c r="E26" i="1266"/>
  <c r="F25" i="1266"/>
  <c r="E25" i="1266"/>
  <c r="F24" i="1266"/>
  <c r="E24" i="1266"/>
  <c r="F23" i="1266"/>
  <c r="E23" i="1266"/>
  <c r="F22" i="1266"/>
  <c r="E22" i="1266"/>
  <c r="F20" i="1266"/>
  <c r="E20" i="1266"/>
  <c r="F19" i="1266"/>
  <c r="E19" i="1266"/>
  <c r="F18" i="1266"/>
  <c r="E18" i="1266"/>
  <c r="F17" i="1266"/>
  <c r="E17" i="1266"/>
  <c r="F16" i="1266"/>
  <c r="E16" i="1266"/>
  <c r="F15" i="1266"/>
  <c r="E15" i="1266"/>
  <c r="F13" i="1266"/>
  <c r="E13" i="1266"/>
  <c r="F12" i="1266"/>
  <c r="E12" i="1266"/>
  <c r="F11" i="1266"/>
  <c r="E11" i="1266"/>
  <c r="F10" i="1266"/>
  <c r="E10" i="1266"/>
  <c r="F9" i="1266"/>
  <c r="E9" i="1266"/>
  <c r="F8" i="1266"/>
  <c r="E8" i="1266"/>
  <c r="F6" i="1266"/>
  <c r="E6" i="1266"/>
  <c r="F5" i="1266"/>
  <c r="E5" i="1266"/>
  <c r="F4" i="1266"/>
  <c r="E4" i="1266"/>
  <c r="F3" i="1266"/>
  <c r="F36" i="1266" s="1"/>
  <c r="F37" i="1266" s="1"/>
  <c r="E3" i="1266"/>
  <c r="F36" i="1265"/>
  <c r="F37" i="1265" s="1"/>
  <c r="F34" i="1265"/>
  <c r="F30" i="1264"/>
  <c r="E30" i="1264"/>
  <c r="F29" i="1264"/>
  <c r="E29" i="1264"/>
  <c r="F25" i="1264"/>
  <c r="E25" i="1264"/>
  <c r="F24" i="1264"/>
  <c r="E24" i="1264"/>
  <c r="F22" i="1264"/>
  <c r="E22" i="1264"/>
  <c r="F19" i="1264"/>
  <c r="E19" i="1264"/>
  <c r="F18" i="1264"/>
  <c r="E18" i="1264"/>
  <c r="F16" i="1264"/>
  <c r="E16" i="1264"/>
  <c r="F15" i="1264"/>
  <c r="E15" i="1264"/>
  <c r="F12" i="1264"/>
  <c r="E12" i="1264"/>
  <c r="F11" i="1264"/>
  <c r="E11" i="1264"/>
  <c r="F10" i="1264"/>
  <c r="E10" i="1264"/>
  <c r="F9" i="1264"/>
  <c r="E9" i="1264"/>
  <c r="F8" i="1264"/>
  <c r="E8" i="1264"/>
  <c r="F5" i="1264"/>
  <c r="E5" i="1264"/>
  <c r="F4" i="1264"/>
  <c r="F34" i="1264" s="1"/>
  <c r="E4" i="1264"/>
  <c r="E31" i="1263"/>
  <c r="F31" i="1263" s="1"/>
  <c r="E30" i="1263"/>
  <c r="F30" i="1263" s="1"/>
  <c r="E29" i="1263"/>
  <c r="F29" i="1263" s="1"/>
  <c r="E26" i="1263"/>
  <c r="F26" i="1263" s="1"/>
  <c r="E25" i="1263"/>
  <c r="F25" i="1263" s="1"/>
  <c r="E23" i="1263"/>
  <c r="F23" i="1263" s="1"/>
  <c r="E20" i="1263"/>
  <c r="F20" i="1263" s="1"/>
  <c r="E19" i="1263"/>
  <c r="F19" i="1263" s="1"/>
  <c r="E18" i="1263"/>
  <c r="F18" i="1263" s="1"/>
  <c r="E17" i="1263"/>
  <c r="F17" i="1263" s="1"/>
  <c r="E16" i="1263"/>
  <c r="F16" i="1263" s="1"/>
  <c r="E13" i="1263"/>
  <c r="F13" i="1263" s="1"/>
  <c r="E12" i="1263"/>
  <c r="F12" i="1263" s="1"/>
  <c r="E11" i="1263"/>
  <c r="F11" i="1263" s="1"/>
  <c r="E10" i="1263"/>
  <c r="F10" i="1263" s="1"/>
  <c r="E9" i="1263"/>
  <c r="F9" i="1263" s="1"/>
  <c r="E8" i="1263"/>
  <c r="F8" i="1263" s="1"/>
  <c r="E6" i="1263"/>
  <c r="F6" i="1263" s="1"/>
  <c r="E5" i="1263"/>
  <c r="F5" i="1263" s="1"/>
  <c r="E4" i="1263"/>
  <c r="F4" i="1263" s="1"/>
  <c r="E3" i="1263"/>
  <c r="F3" i="1263" s="1"/>
  <c r="F32" i="1262"/>
  <c r="E32" i="1262"/>
  <c r="F31" i="1262"/>
  <c r="E31" i="1262"/>
  <c r="F30" i="1262"/>
  <c r="E30" i="1262"/>
  <c r="F29" i="1262"/>
  <c r="E29" i="1262"/>
  <c r="F27" i="1262"/>
  <c r="E27" i="1262"/>
  <c r="F26" i="1262"/>
  <c r="E26" i="1262"/>
  <c r="F25" i="1262"/>
  <c r="E25" i="1262"/>
  <c r="F24" i="1262"/>
  <c r="E24" i="1262"/>
  <c r="F23" i="1262"/>
  <c r="E23" i="1262"/>
  <c r="F22" i="1262"/>
  <c r="E22" i="1262"/>
  <c r="F20" i="1262"/>
  <c r="E20" i="1262"/>
  <c r="F19" i="1262"/>
  <c r="E19" i="1262"/>
  <c r="F18" i="1262"/>
  <c r="E18" i="1262"/>
  <c r="F17" i="1262"/>
  <c r="E17" i="1262"/>
  <c r="F16" i="1262"/>
  <c r="E16" i="1262"/>
  <c r="F15" i="1262"/>
  <c r="E15" i="1262"/>
  <c r="F13" i="1262"/>
  <c r="E13" i="1262"/>
  <c r="F12" i="1262"/>
  <c r="E12" i="1262"/>
  <c r="F11" i="1262"/>
  <c r="E11" i="1262"/>
  <c r="F10" i="1262"/>
  <c r="E10" i="1262"/>
  <c r="F9" i="1262"/>
  <c r="E9" i="1262"/>
  <c r="F8" i="1262"/>
  <c r="E8" i="1262"/>
  <c r="F6" i="1262"/>
  <c r="E6" i="1262"/>
  <c r="F5" i="1262"/>
  <c r="E5" i="1262"/>
  <c r="F4" i="1262"/>
  <c r="E4" i="1262"/>
  <c r="F3" i="1262"/>
  <c r="F34" i="1262" s="1"/>
  <c r="E3" i="1262"/>
  <c r="E32" i="1261"/>
  <c r="F32" i="1261" s="1"/>
  <c r="E31" i="1261"/>
  <c r="F31" i="1261" s="1"/>
  <c r="E30" i="1261"/>
  <c r="F30" i="1261" s="1"/>
  <c r="E29" i="1261"/>
  <c r="F29" i="1261" s="1"/>
  <c r="E27" i="1261"/>
  <c r="F27" i="1261" s="1"/>
  <c r="E24" i="1261"/>
  <c r="F24" i="1261" s="1"/>
  <c r="E23" i="1261"/>
  <c r="F23" i="1261" s="1"/>
  <c r="E22" i="1261"/>
  <c r="F22" i="1261" s="1"/>
  <c r="E20" i="1261"/>
  <c r="F20" i="1261" s="1"/>
  <c r="E19" i="1261"/>
  <c r="F19" i="1261" s="1"/>
  <c r="E18" i="1261"/>
  <c r="F18" i="1261" s="1"/>
  <c r="E17" i="1261"/>
  <c r="F17" i="1261" s="1"/>
  <c r="E16" i="1261"/>
  <c r="F16" i="1261" s="1"/>
  <c r="E15" i="1261"/>
  <c r="F15" i="1261" s="1"/>
  <c r="E12" i="1261"/>
  <c r="F12" i="1261" s="1"/>
  <c r="E11" i="1261"/>
  <c r="F11" i="1261" s="1"/>
  <c r="E10" i="1261"/>
  <c r="F10" i="1261" s="1"/>
  <c r="E9" i="1261"/>
  <c r="F9" i="1261" s="1"/>
  <c r="E8" i="1261"/>
  <c r="F8" i="1261" s="1"/>
  <c r="E6" i="1261"/>
  <c r="F6" i="1261" s="1"/>
  <c r="E4" i="1261"/>
  <c r="F4" i="1261" s="1"/>
  <c r="E3" i="1261"/>
  <c r="F3" i="1261" s="1"/>
  <c r="F29" i="1260"/>
  <c r="E29" i="1260"/>
  <c r="F27" i="1260"/>
  <c r="E27" i="1260"/>
  <c r="F26" i="1260"/>
  <c r="E26" i="1260"/>
  <c r="F25" i="1260"/>
  <c r="E25" i="1260"/>
  <c r="F22" i="1260"/>
  <c r="E22" i="1260"/>
  <c r="F19" i="1260"/>
  <c r="E19" i="1260"/>
  <c r="F18" i="1260"/>
  <c r="E18" i="1260"/>
  <c r="F17" i="1260"/>
  <c r="E17" i="1260"/>
  <c r="F16" i="1260"/>
  <c r="E16" i="1260"/>
  <c r="F15" i="1260"/>
  <c r="E15" i="1260"/>
  <c r="F12" i="1260"/>
  <c r="E12" i="1260"/>
  <c r="F11" i="1260"/>
  <c r="E11" i="1260"/>
  <c r="F10" i="1260"/>
  <c r="E10" i="1260"/>
  <c r="F9" i="1260"/>
  <c r="E9" i="1260"/>
  <c r="F5" i="1260"/>
  <c r="E5" i="1260"/>
  <c r="F4" i="1260"/>
  <c r="E4" i="1260"/>
  <c r="F3" i="1260"/>
  <c r="F36" i="1260" s="1"/>
  <c r="F37" i="1260" s="1"/>
  <c r="E3" i="1260"/>
  <c r="F36" i="1261" l="1"/>
  <c r="F37" i="1261" s="1"/>
  <c r="F34" i="1261"/>
  <c r="F36" i="1263"/>
  <c r="F37" i="1263" s="1"/>
  <c r="F34" i="1263"/>
  <c r="F36" i="1267"/>
  <c r="F37" i="1267" s="1"/>
  <c r="F34" i="1267"/>
  <c r="F36" i="1264"/>
  <c r="F37" i="1264" s="1"/>
  <c r="F34" i="1260"/>
  <c r="F34" i="1266"/>
  <c r="F36" i="1262"/>
  <c r="F37" i="1262" s="1"/>
</calcChain>
</file>

<file path=xl/sharedStrings.xml><?xml version="1.0" encoding="utf-8"?>
<sst xmlns="http://schemas.openxmlformats.org/spreadsheetml/2006/main" count="970" uniqueCount="133">
  <si>
    <t>08:00</t>
  </si>
  <si>
    <t>רמי אבו אחמד</t>
  </si>
  <si>
    <t>08:03</t>
  </si>
  <si>
    <t>16:00</t>
  </si>
  <si>
    <t>08:02</t>
  </si>
  <si>
    <t>07:56</t>
  </si>
  <si>
    <t>רושדי טאהא</t>
  </si>
  <si>
    <t>08:06</t>
  </si>
  <si>
    <t>07:58</t>
  </si>
  <si>
    <t>08:01</t>
  </si>
  <si>
    <t>07:59</t>
  </si>
  <si>
    <t>סרי אבו אחמד</t>
  </si>
  <si>
    <t>07:54</t>
  </si>
  <si>
    <t>מחמד חמדאן</t>
  </si>
  <si>
    <t>סלים מסרי</t>
  </si>
  <si>
    <t>אוסאמה סלייח</t>
  </si>
  <si>
    <t>אברהים גריפאת</t>
  </si>
  <si>
    <t>אברהים משאקי</t>
  </si>
  <si>
    <t>Actual T2</t>
  </si>
  <si>
    <t>Actual T1</t>
  </si>
  <si>
    <t>Date</t>
  </si>
  <si>
    <t>Name</t>
  </si>
  <si>
    <t>User ID</t>
  </si>
  <si>
    <t>14:30</t>
  </si>
  <si>
    <t>16:50</t>
  </si>
  <si>
    <t>07:57</t>
  </si>
  <si>
    <t>07:53</t>
  </si>
  <si>
    <t>07:52</t>
  </si>
  <si>
    <t>16:41</t>
  </si>
  <si>
    <t>08:10</t>
  </si>
  <si>
    <t>16:30</t>
  </si>
  <si>
    <t>מאלק שרארה</t>
  </si>
  <si>
    <t>07:50</t>
  </si>
  <si>
    <t>08:08</t>
  </si>
  <si>
    <t>08:05</t>
  </si>
  <si>
    <t>08:09</t>
  </si>
  <si>
    <t>08:11</t>
  </si>
  <si>
    <t>08:04</t>
  </si>
  <si>
    <t>16:40</t>
  </si>
  <si>
    <t>08:16</t>
  </si>
  <si>
    <t>07:46</t>
  </si>
  <si>
    <t>16:44</t>
  </si>
  <si>
    <t>07:48</t>
  </si>
  <si>
    <t>16:37</t>
  </si>
  <si>
    <t>07:31</t>
  </si>
  <si>
    <t>16:36</t>
  </si>
  <si>
    <t>16:39</t>
  </si>
  <si>
    <t>16:38</t>
  </si>
  <si>
    <t>16:34</t>
  </si>
  <si>
    <t>שם עובד</t>
  </si>
  <si>
    <t>תאריך</t>
  </si>
  <si>
    <t>יום</t>
  </si>
  <si>
    <t>שעת כניסה</t>
  </si>
  <si>
    <t>שעת יציאה</t>
  </si>
  <si>
    <t>שעות עבודה</t>
  </si>
  <si>
    <t>ש.ע. עשרוני</t>
  </si>
  <si>
    <t>סה''כ שעות</t>
  </si>
  <si>
    <t>ימי נוכחות</t>
  </si>
  <si>
    <t>ימי העדרות</t>
  </si>
  <si>
    <t>מס'</t>
  </si>
  <si>
    <t>07:45</t>
  </si>
  <si>
    <t>16:29</t>
  </si>
  <si>
    <t>07:29</t>
  </si>
  <si>
    <t>07:25</t>
  </si>
  <si>
    <t>07:26</t>
  </si>
  <si>
    <t>07:04</t>
  </si>
  <si>
    <t>07:24</t>
  </si>
  <si>
    <t>מרוחק</t>
  </si>
  <si>
    <t>30-09</t>
  </si>
  <si>
    <t>29-09</t>
  </si>
  <si>
    <t>16:32</t>
  </si>
  <si>
    <t>28-09</t>
  </si>
  <si>
    <t>08:13</t>
  </si>
  <si>
    <t>27-09</t>
  </si>
  <si>
    <t>26-09</t>
  </si>
  <si>
    <t>25-09</t>
  </si>
  <si>
    <t>24-09</t>
  </si>
  <si>
    <t>23-09</t>
  </si>
  <si>
    <t>08:22</t>
  </si>
  <si>
    <t>22-09</t>
  </si>
  <si>
    <t>21-09</t>
  </si>
  <si>
    <t>20-09</t>
  </si>
  <si>
    <t>19-09</t>
  </si>
  <si>
    <t>18-09</t>
  </si>
  <si>
    <t>17-09</t>
  </si>
  <si>
    <t>16-09</t>
  </si>
  <si>
    <t>15-09</t>
  </si>
  <si>
    <t>14-09</t>
  </si>
  <si>
    <t>13-09</t>
  </si>
  <si>
    <t>12-09</t>
  </si>
  <si>
    <t>11-09</t>
  </si>
  <si>
    <t>10-09</t>
  </si>
  <si>
    <t>09-09</t>
  </si>
  <si>
    <t>08-09</t>
  </si>
  <si>
    <t>07-09</t>
  </si>
  <si>
    <t>06-09</t>
  </si>
  <si>
    <t>05-09</t>
  </si>
  <si>
    <t>13:49</t>
  </si>
  <si>
    <t>04-09</t>
  </si>
  <si>
    <t>03-09</t>
  </si>
  <si>
    <t>02-09</t>
  </si>
  <si>
    <t>07:30</t>
  </si>
  <si>
    <t>01-09</t>
  </si>
  <si>
    <t>08:19</t>
  </si>
  <si>
    <t>05:42</t>
  </si>
  <si>
    <t>08:12</t>
  </si>
  <si>
    <t>13:00</t>
  </si>
  <si>
    <t>07:18</t>
  </si>
  <si>
    <t>07:43</t>
  </si>
  <si>
    <t>07:40</t>
  </si>
  <si>
    <t>07:33</t>
  </si>
  <si>
    <t>07:16</t>
  </si>
  <si>
    <t>07:01</t>
  </si>
  <si>
    <t>08:18</t>
  </si>
  <si>
    <t>07:23</t>
  </si>
  <si>
    <t>08:49</t>
  </si>
  <si>
    <t>16:33</t>
  </si>
  <si>
    <t>15:58</t>
  </si>
  <si>
    <t>07:49</t>
  </si>
  <si>
    <t>14:58</t>
  </si>
  <si>
    <t>10:00</t>
  </si>
  <si>
    <t>14:51</t>
  </si>
  <si>
    <t>16:06</t>
  </si>
  <si>
    <t>14:04</t>
  </si>
  <si>
    <t>11:12</t>
  </si>
  <si>
    <t>07:51</t>
  </si>
  <si>
    <t>13:52</t>
  </si>
  <si>
    <t>11:24</t>
  </si>
  <si>
    <t>13:38</t>
  </si>
  <si>
    <t>16:35</t>
  </si>
  <si>
    <t>11:55</t>
  </si>
  <si>
    <t>16:23</t>
  </si>
  <si>
    <t>16:25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</si>
</sst>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mmmm\ /\ yyyy"/>
    <numFmt numFmtId="165" formatCode="[$-1000000]hh:mm;@"/>
    <numFmt numFmtId="166" formatCode="00.00"/>
    <numFmt numFmtId="167" formatCode="dd/mm"/>
    <numFmt numFmtId="168" formatCode="dddd"/>
    <numFmt numFmtId="169" formatCode="mmmm/yyyy"/>
  </numFmts>
  <fonts count="9" x14ac:knownFonts="1">
    <font>
      <sz val="11"/>
      <color theme="1"/>
      <name val="Arial"/>
      <family val="2"/>
      <scheme val="minor"/>
    </font>
    <font>
      <sz val="10"/>
      <name val="MS Sans Serif"/>
      <charset val="177"/>
    </font>
    <font>
      <sz val="14"/>
      <color theme="1"/>
      <name val="DAVID"/>
      <family val="2"/>
    </font>
    <font>
      <b/>
      <sz val="14"/>
      <color theme="1"/>
      <name val="DAVID"/>
      <family val="2"/>
    </font>
    <font>
      <b/>
      <sz val="26"/>
      <color theme="1"/>
      <name val="DAVID"/>
      <family val="2"/>
    </font>
    <font>
      <b/>
      <sz val="18"/>
      <color theme="4"/>
      <name val="DAVID"/>
      <family val="2"/>
    </font>
    <font>
      <sz val="22"/>
      <color theme="1"/>
      <name val="DAVID"/>
      <family val="2"/>
    </font>
    <font>
      <b/>
      <sz val="22"/>
      <color theme="1"/>
      <name val="DAVID"/>
      <family val="2"/>
    </font>
    <font>
      <b/>
      <sz val="36"/>
      <color theme="1"/>
      <name val="DAVID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5117038483843"/>
        <bgColor indexed="64"/>
      </patternFill>
    </fill>
  </fills>
  <borders count="5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medium">
        <color auto="1"/>
      </right>
      <top style="medium">
        <color indexed="64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indexed="64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79">
    <xf numFmtId="0" fontId="0" fillId="0" borderId="0" xfId="0"/>
    <xf numFmtId="0" fontId="1" fillId="0" borderId="0" xfId="1"/>
    <xf numFmtId="0" fontId="1" fillId="0" borderId="0" xfId="1" quotePrefix="1"/>
    <xf numFmtId="0" fontId="2" fillId="0" borderId="0" xfId="0" applyFont="1" applyAlignment="1">
      <alignment horizontal="center" vertical="center"/>
    </xf>
    <xf numFmtId="166" fontId="2" fillId="0" borderId="0" xfId="0" applyNumberFormat="1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66" fontId="5" fillId="0" borderId="1" xfId="0" applyNumberFormat="1" applyFont="1" applyBorder="1" applyAlignment="1">
      <alignment horizontal="center" vertical="center"/>
    </xf>
    <xf numFmtId="165" fontId="2" fillId="0" borderId="11" xfId="0" applyNumberFormat="1" applyFont="1" applyBorder="1" applyAlignment="1">
      <alignment horizontal="center" vertical="center"/>
    </xf>
    <xf numFmtId="165" fontId="2" fillId="0" borderId="14" xfId="0" applyNumberFormat="1" applyFont="1" applyBorder="1" applyAlignment="1">
      <alignment horizontal="center" vertical="center"/>
    </xf>
    <xf numFmtId="166" fontId="2" fillId="0" borderId="17" xfId="0" applyNumberFormat="1" applyFont="1" applyBorder="1" applyAlignment="1">
      <alignment horizontal="center" vertical="center"/>
    </xf>
    <xf numFmtId="166" fontId="2" fillId="0" borderId="18" xfId="0" applyNumberFormat="1" applyFont="1" applyBorder="1" applyAlignment="1">
      <alignment horizontal="center" vertical="center"/>
    </xf>
    <xf numFmtId="165" fontId="2" fillId="0" borderId="20" xfId="0" applyNumberFormat="1" applyFont="1" applyBorder="1" applyAlignment="1">
      <alignment horizontal="center" vertical="center"/>
    </xf>
    <xf numFmtId="166" fontId="2" fillId="0" borderId="21" xfId="0" applyNumberFormat="1" applyFont="1" applyBorder="1" applyAlignment="1">
      <alignment horizontal="center" vertical="center"/>
    </xf>
    <xf numFmtId="168" fontId="2" fillId="0" borderId="25" xfId="0" applyNumberFormat="1" applyFont="1" applyBorder="1" applyAlignment="1">
      <alignment horizontal="center" vertical="center"/>
    </xf>
    <xf numFmtId="168" fontId="2" fillId="0" borderId="26" xfId="0" applyNumberFormat="1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167" fontId="3" fillId="0" borderId="16" xfId="0" applyNumberFormat="1" applyFont="1" applyBorder="1" applyAlignment="1">
      <alignment horizontal="center" vertical="center"/>
    </xf>
    <xf numFmtId="167" fontId="3" fillId="0" borderId="12" xfId="0" applyNumberFormat="1" applyFont="1" applyBorder="1" applyAlignment="1">
      <alignment horizontal="center" vertical="center"/>
    </xf>
    <xf numFmtId="167" fontId="3" fillId="0" borderId="15" xfId="0" applyNumberFormat="1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168" fontId="2" fillId="0" borderId="32" xfId="0" applyNumberFormat="1" applyFont="1" applyBorder="1" applyAlignment="1">
      <alignment horizontal="center" vertical="center"/>
    </xf>
    <xf numFmtId="165" fontId="2" fillId="0" borderId="27" xfId="0" applyNumberFormat="1" applyFont="1" applyBorder="1" applyAlignment="1">
      <alignment horizontal="center" vertical="center"/>
    </xf>
    <xf numFmtId="165" fontId="2" fillId="0" borderId="33" xfId="0" applyNumberFormat="1" applyFont="1" applyBorder="1" applyAlignment="1">
      <alignment horizontal="center" vertical="center"/>
    </xf>
    <xf numFmtId="166" fontId="2" fillId="0" borderId="34" xfId="0" applyNumberFormat="1" applyFont="1" applyBorder="1" applyAlignment="1">
      <alignment horizontal="center" vertical="center"/>
    </xf>
    <xf numFmtId="0" fontId="6" fillId="0" borderId="44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vertical="center"/>
    </xf>
    <xf numFmtId="2" fontId="6" fillId="0" borderId="46" xfId="0" applyNumberFormat="1" applyFont="1" applyBorder="1" applyAlignment="1">
      <alignment horizontal="center" vertical="center"/>
    </xf>
    <xf numFmtId="0" fontId="6" fillId="0" borderId="47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vertical="center"/>
    </xf>
    <xf numFmtId="2" fontId="6" fillId="0" borderId="49" xfId="0" applyNumberFormat="1" applyFont="1" applyBorder="1" applyAlignment="1">
      <alignment horizontal="center" vertical="center"/>
    </xf>
    <xf numFmtId="0" fontId="7" fillId="0" borderId="47" xfId="0" applyFont="1" applyBorder="1" applyAlignment="1">
      <alignment horizontal="center" vertical="center"/>
    </xf>
    <xf numFmtId="0" fontId="7" fillId="0" borderId="48" xfId="0" applyFont="1" applyBorder="1" applyAlignment="1">
      <alignment horizontal="center" vertical="center"/>
    </xf>
    <xf numFmtId="0" fontId="7" fillId="0" borderId="49" xfId="0" applyFont="1" applyBorder="1" applyAlignment="1">
      <alignment horizontal="center" vertical="center"/>
    </xf>
    <xf numFmtId="169" fontId="8" fillId="0" borderId="41" xfId="0" applyNumberFormat="1" applyFont="1" applyBorder="1" applyAlignment="1">
      <alignment horizontal="center" vertical="center"/>
    </xf>
    <xf numFmtId="169" fontId="8" fillId="0" borderId="42" xfId="0" applyNumberFormat="1" applyFont="1" applyBorder="1" applyAlignment="1">
      <alignment horizontal="center" vertical="center"/>
    </xf>
    <xf numFmtId="169" fontId="8" fillId="0" borderId="43" xfId="0" applyNumberFormat="1" applyFont="1" applyBorder="1" applyAlignment="1">
      <alignment horizontal="center" vertical="center"/>
    </xf>
    <xf numFmtId="165" fontId="2" fillId="3" borderId="17" xfId="0" applyNumberFormat="1" applyFont="1" applyFill="1" applyBorder="1" applyAlignment="1">
      <alignment horizontal="center" vertical="center"/>
    </xf>
    <xf numFmtId="165" fontId="2" fillId="3" borderId="30" xfId="0" applyNumberFormat="1" applyFont="1" applyFill="1" applyBorder="1" applyAlignment="1">
      <alignment horizontal="center" vertical="center"/>
    </xf>
    <xf numFmtId="165" fontId="2" fillId="3" borderId="31" xfId="0" applyNumberFormat="1" applyFont="1" applyFill="1" applyBorder="1" applyAlignment="1">
      <alignment horizontal="center" vertical="center"/>
    </xf>
    <xf numFmtId="165" fontId="2" fillId="3" borderId="34" xfId="0" applyNumberFormat="1" applyFont="1" applyFill="1" applyBorder="1" applyAlignment="1">
      <alignment horizontal="center" vertical="center"/>
    </xf>
    <xf numFmtId="165" fontId="2" fillId="3" borderId="35" xfId="0" applyNumberFormat="1" applyFont="1" applyFill="1" applyBorder="1" applyAlignment="1">
      <alignment horizontal="center" vertical="center"/>
    </xf>
    <xf numFmtId="165" fontId="2" fillId="3" borderId="36" xfId="0" applyNumberFormat="1" applyFont="1" applyFill="1" applyBorder="1" applyAlignment="1">
      <alignment horizontal="center" vertical="center"/>
    </xf>
    <xf numFmtId="165" fontId="2" fillId="3" borderId="18" xfId="0" applyNumberFormat="1" applyFont="1" applyFill="1" applyBorder="1" applyAlignment="1">
      <alignment horizontal="center" vertical="center"/>
    </xf>
    <xf numFmtId="165" fontId="2" fillId="3" borderId="32" xfId="0" applyNumberFormat="1" applyFont="1" applyFill="1" applyBorder="1" applyAlignment="1">
      <alignment horizontal="center" vertical="center"/>
    </xf>
    <xf numFmtId="165" fontId="2" fillId="3" borderId="37" xfId="0" applyNumberFormat="1" applyFont="1" applyFill="1" applyBorder="1" applyAlignment="1">
      <alignment horizontal="center" vertical="center"/>
    </xf>
    <xf numFmtId="164" fontId="4" fillId="0" borderId="28" xfId="0" applyNumberFormat="1" applyFont="1" applyBorder="1" applyAlignment="1">
      <alignment horizontal="center" vertical="center" textRotation="180"/>
    </xf>
    <xf numFmtId="0" fontId="3" fillId="0" borderId="12" xfId="0" applyFont="1" applyBorder="1" applyAlignment="1">
      <alignment horizontal="center" vertical="center" textRotation="180"/>
    </xf>
    <xf numFmtId="0" fontId="3" fillId="0" borderId="37" xfId="0" applyFont="1" applyBorder="1" applyAlignment="1">
      <alignment horizontal="center" vertical="center" textRotation="180"/>
    </xf>
    <xf numFmtId="0" fontId="4" fillId="0" borderId="22" xfId="0" applyFont="1" applyBorder="1" applyAlignment="1">
      <alignment horizontal="center" vertical="center" readingOrder="2"/>
    </xf>
    <xf numFmtId="0" fontId="3" fillId="0" borderId="2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168" fontId="2" fillId="2" borderId="26" xfId="0" applyNumberFormat="1" applyFont="1" applyFill="1" applyBorder="1" applyAlignment="1">
      <alignment horizontal="center" vertical="center"/>
    </xf>
    <xf numFmtId="168" fontId="2" fillId="2" borderId="11" xfId="0" applyNumberFormat="1" applyFont="1" applyFill="1" applyBorder="1" applyAlignment="1">
      <alignment horizontal="center" vertical="center"/>
    </xf>
    <xf numFmtId="168" fontId="2" fillId="2" borderId="17" xfId="0" applyNumberFormat="1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 textRotation="180"/>
    </xf>
    <xf numFmtId="165" fontId="2" fillId="3" borderId="19" xfId="0" applyNumberFormat="1" applyFont="1" applyFill="1" applyBorder="1" applyAlignment="1">
      <alignment horizontal="center" vertical="center"/>
    </xf>
    <xf numFmtId="165" fontId="2" fillId="3" borderId="38" xfId="0" applyNumberFormat="1" applyFont="1" applyFill="1" applyBorder="1" applyAlignment="1">
      <alignment horizontal="center" vertical="center"/>
    </xf>
    <xf numFmtId="165" fontId="2" fillId="3" borderId="39" xfId="0" applyNumberFormat="1" applyFont="1" applyFill="1" applyBorder="1" applyAlignment="1">
      <alignment horizontal="center" vertical="center"/>
    </xf>
    <xf numFmtId="165" fontId="7" fillId="3" borderId="50" xfId="0" applyNumberFormat="1" applyFont="1" applyFill="1" applyBorder="1" applyAlignment="1">
      <alignment horizontal="center" vertical="center"/>
    </xf>
    <xf numFmtId="165" fontId="7" fillId="3" borderId="5" xfId="0" applyNumberFormat="1" applyFont="1" applyFill="1" applyBorder="1" applyAlignment="1">
      <alignment horizontal="center" vertical="center"/>
    </xf>
    <xf numFmtId="165" fontId="7" fillId="3" borderId="6" xfId="0" applyNumberFormat="1" applyFont="1" applyFill="1" applyBorder="1" applyAlignment="1">
      <alignment horizontal="center" vertical="center"/>
    </xf>
    <xf numFmtId="165" fontId="7" fillId="3" borderId="7" xfId="0" applyNumberFormat="1" applyFont="1" applyFill="1" applyBorder="1" applyAlignment="1">
      <alignment horizontal="center" vertical="center"/>
    </xf>
    <xf numFmtId="165" fontId="7" fillId="3" borderId="0" xfId="0" applyNumberFormat="1" applyFont="1" applyFill="1" applyAlignment="1">
      <alignment horizontal="center" vertical="center"/>
    </xf>
    <xf numFmtId="165" fontId="7" fillId="3" borderId="4" xfId="0" applyNumberFormat="1" applyFont="1" applyFill="1" applyBorder="1" applyAlignment="1">
      <alignment horizontal="center" vertical="center"/>
    </xf>
    <xf numFmtId="165" fontId="7" fillId="3" borderId="21" xfId="0" applyNumberFormat="1" applyFont="1" applyFill="1" applyBorder="1" applyAlignment="1">
      <alignment horizontal="center" vertical="center"/>
    </xf>
    <xf numFmtId="165" fontId="7" fillId="3" borderId="40" xfId="0" applyNumberFormat="1" applyFont="1" applyFill="1" applyBorder="1" applyAlignment="1">
      <alignment horizontal="center" vertical="center"/>
    </xf>
    <xf numFmtId="165" fontId="7" fillId="3" borderId="28" xfId="0" applyNumberFormat="1" applyFont="1" applyFill="1" applyBorder="1" applyAlignment="1">
      <alignment horizontal="center" vertical="center"/>
    </xf>
    <xf numFmtId="165" fontId="7" fillId="3" borderId="34" xfId="0" applyNumberFormat="1" applyFont="1" applyFill="1" applyBorder="1" applyAlignment="1">
      <alignment horizontal="center" vertical="center"/>
    </xf>
    <xf numFmtId="165" fontId="7" fillId="3" borderId="35" xfId="0" applyNumberFormat="1" applyFont="1" applyFill="1" applyBorder="1" applyAlignment="1">
      <alignment horizontal="center" vertical="center"/>
    </xf>
    <xf numFmtId="165" fontId="7" fillId="3" borderId="36" xfId="0" applyNumberFormat="1" applyFont="1" applyFill="1" applyBorder="1" applyAlignment="1">
      <alignment horizontal="center" vertical="center"/>
    </xf>
    <xf numFmtId="165" fontId="7" fillId="3" borderId="8" xfId="0" applyNumberFormat="1" applyFont="1" applyFill="1" applyBorder="1" applyAlignment="1">
      <alignment horizontal="center" vertical="center"/>
    </xf>
    <xf numFmtId="165" fontId="7" fillId="3" borderId="2" xfId="0" applyNumberFormat="1" applyFont="1" applyFill="1" applyBorder="1" applyAlignment="1">
      <alignment horizontal="center" vertical="center"/>
    </xf>
    <xf numFmtId="165" fontId="7" fillId="3" borderId="3" xfId="0" applyNumberFormat="1" applyFont="1" applyFill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77099-9331-4608-8EC0-E2593970DF90}">
  <dimension ref="A1:E271"/>
  <sheetViews>
    <sheetView workbookViewId="0">
      <selection sqref="A1:XFD1048576"/>
    </sheetView>
  </sheetViews>
  <sheetFormatPr defaultColWidth="9.125" defaultRowHeight="12.75" x14ac:dyDescent="0.2"/>
  <cols>
    <col min="1" max="1" width="7.375" style="1" bestFit="1" customWidth="1"/>
    <col min="2" max="2" width="13.875" style="1" bestFit="1" customWidth="1"/>
    <col min="3" max="3" width="5.625" style="1" bestFit="1" customWidth="1"/>
    <col min="4" max="5" width="9" style="1" bestFit="1" customWidth="1"/>
    <col min="6" max="16384" width="9.125" style="1"/>
  </cols>
  <sheetData>
    <row r="1" spans="1:5" x14ac:dyDescent="0.2">
      <c r="A1" s="2">
        <v>5</v>
      </c>
      <c r="B1" s="2" t="s">
        <v>6</v>
      </c>
      <c r="C1" s="2" t="s">
        <v>102</v>
      </c>
      <c r="D1" s="2" t="s">
        <v>112</v>
      </c>
      <c r="E1" s="2" t="s">
        <v>3</v>
      </c>
    </row>
    <row r="2" spans="1:5" x14ac:dyDescent="0.2">
      <c r="A2" s="2">
        <v>5</v>
      </c>
      <c r="B2" s="2" t="s">
        <v>6</v>
      </c>
      <c r="C2" s="2" t="s">
        <v>100</v>
      </c>
      <c r="D2" s="2" t="s">
        <v>65</v>
      </c>
      <c r="E2" s="2" t="s">
        <v>3</v>
      </c>
    </row>
    <row r="3" spans="1:5" x14ac:dyDescent="0.2">
      <c r="A3" s="2">
        <v>5</v>
      </c>
      <c r="B3" s="2" t="s">
        <v>6</v>
      </c>
      <c r="C3" s="2" t="s">
        <v>99</v>
      </c>
      <c r="D3" s="2" t="s">
        <v>111</v>
      </c>
      <c r="E3" s="2" t="s">
        <v>3</v>
      </c>
    </row>
    <row r="4" spans="1:5" x14ac:dyDescent="0.2">
      <c r="A4" s="2">
        <v>5</v>
      </c>
      <c r="B4" s="2" t="s">
        <v>6</v>
      </c>
      <c r="C4" s="2" t="s">
        <v>98</v>
      </c>
    </row>
    <row r="5" spans="1:5" x14ac:dyDescent="0.2">
      <c r="A5" s="2">
        <v>5</v>
      </c>
      <c r="B5" s="2" t="s">
        <v>6</v>
      </c>
      <c r="C5" s="2" t="s">
        <v>96</v>
      </c>
    </row>
    <row r="6" spans="1:5" x14ac:dyDescent="0.2">
      <c r="A6" s="2">
        <v>5</v>
      </c>
      <c r="B6" s="2" t="s">
        <v>6</v>
      </c>
      <c r="C6" s="2" t="s">
        <v>95</v>
      </c>
    </row>
    <row r="7" spans="1:5" x14ac:dyDescent="0.2">
      <c r="A7" s="2">
        <v>5</v>
      </c>
      <c r="B7" s="2" t="s">
        <v>6</v>
      </c>
      <c r="C7" s="2" t="s">
        <v>94</v>
      </c>
      <c r="D7" s="2" t="s">
        <v>66</v>
      </c>
      <c r="E7" s="2" t="s">
        <v>3</v>
      </c>
    </row>
    <row r="8" spans="1:5" x14ac:dyDescent="0.2">
      <c r="A8" s="2">
        <v>5</v>
      </c>
      <c r="B8" s="2" t="s">
        <v>6</v>
      </c>
      <c r="C8" s="2" t="s">
        <v>93</v>
      </c>
      <c r="D8" s="2" t="s">
        <v>101</v>
      </c>
      <c r="E8" s="2" t="s">
        <v>3</v>
      </c>
    </row>
    <row r="9" spans="1:5" x14ac:dyDescent="0.2">
      <c r="A9" s="2">
        <v>5</v>
      </c>
      <c r="B9" s="2" t="s">
        <v>6</v>
      </c>
      <c r="C9" s="2" t="s">
        <v>92</v>
      </c>
      <c r="D9" s="2" t="s">
        <v>64</v>
      </c>
      <c r="E9" s="2" t="s">
        <v>3</v>
      </c>
    </row>
    <row r="10" spans="1:5" x14ac:dyDescent="0.2">
      <c r="A10" s="2">
        <v>5</v>
      </c>
      <c r="B10" s="2" t="s">
        <v>6</v>
      </c>
      <c r="C10" s="2" t="s">
        <v>91</v>
      </c>
      <c r="D10" s="2" t="s">
        <v>110</v>
      </c>
      <c r="E10" s="2" t="s">
        <v>3</v>
      </c>
    </row>
    <row r="11" spans="1:5" x14ac:dyDescent="0.2">
      <c r="A11" s="2">
        <v>5</v>
      </c>
      <c r="B11" s="2" t="s">
        <v>6</v>
      </c>
      <c r="C11" s="2" t="s">
        <v>90</v>
      </c>
    </row>
    <row r="12" spans="1:5" x14ac:dyDescent="0.2">
      <c r="A12" s="2">
        <v>5</v>
      </c>
      <c r="B12" s="2" t="s">
        <v>6</v>
      </c>
      <c r="C12" s="2" t="s">
        <v>89</v>
      </c>
    </row>
    <row r="13" spans="1:5" x14ac:dyDescent="0.2">
      <c r="A13" s="2">
        <v>5</v>
      </c>
      <c r="B13" s="2" t="s">
        <v>6</v>
      </c>
      <c r="C13" s="2" t="s">
        <v>88</v>
      </c>
      <c r="D13" s="2" t="s">
        <v>64</v>
      </c>
      <c r="E13" s="2" t="s">
        <v>3</v>
      </c>
    </row>
    <row r="14" spans="1:5" x14ac:dyDescent="0.2">
      <c r="A14" s="2">
        <v>5</v>
      </c>
      <c r="B14" s="2" t="s">
        <v>6</v>
      </c>
      <c r="C14" s="2" t="s">
        <v>87</v>
      </c>
      <c r="D14" s="2" t="s">
        <v>63</v>
      </c>
      <c r="E14" s="2" t="s">
        <v>3</v>
      </c>
    </row>
    <row r="15" spans="1:5" x14ac:dyDescent="0.2">
      <c r="A15" s="2">
        <v>5</v>
      </c>
      <c r="B15" s="2" t="s">
        <v>6</v>
      </c>
      <c r="C15" s="2" t="s">
        <v>86</v>
      </c>
      <c r="D15" s="2" t="s">
        <v>40</v>
      </c>
      <c r="E15" s="2" t="s">
        <v>3</v>
      </c>
    </row>
    <row r="16" spans="1:5" x14ac:dyDescent="0.2">
      <c r="A16" s="2">
        <v>5</v>
      </c>
      <c r="B16" s="2" t="s">
        <v>6</v>
      </c>
      <c r="C16" s="2" t="s">
        <v>85</v>
      </c>
      <c r="D16" s="2" t="s">
        <v>109</v>
      </c>
      <c r="E16" s="2" t="s">
        <v>3</v>
      </c>
    </row>
    <row r="17" spans="1:5" x14ac:dyDescent="0.2">
      <c r="A17" s="2">
        <v>5</v>
      </c>
      <c r="B17" s="2" t="s">
        <v>6</v>
      </c>
      <c r="C17" s="2" t="s">
        <v>84</v>
      </c>
      <c r="D17" s="2" t="s">
        <v>60</v>
      </c>
      <c r="E17" s="2" t="s">
        <v>3</v>
      </c>
    </row>
    <row r="18" spans="1:5" x14ac:dyDescent="0.2">
      <c r="A18" s="2">
        <v>5</v>
      </c>
      <c r="B18" s="2" t="s">
        <v>6</v>
      </c>
      <c r="C18" s="2" t="s">
        <v>83</v>
      </c>
    </row>
    <row r="19" spans="1:5" x14ac:dyDescent="0.2">
      <c r="A19" s="2">
        <v>5</v>
      </c>
      <c r="B19" s="2" t="s">
        <v>6</v>
      </c>
      <c r="C19" s="2" t="s">
        <v>82</v>
      </c>
    </row>
    <row r="20" spans="1:5" x14ac:dyDescent="0.2">
      <c r="A20" s="2">
        <v>5</v>
      </c>
      <c r="B20" s="2" t="s">
        <v>6</v>
      </c>
      <c r="C20" s="2" t="s">
        <v>81</v>
      </c>
      <c r="D20" s="2" t="s">
        <v>42</v>
      </c>
      <c r="E20" s="2" t="s">
        <v>3</v>
      </c>
    </row>
    <row r="21" spans="1:5" x14ac:dyDescent="0.2">
      <c r="A21" s="2">
        <v>5</v>
      </c>
      <c r="B21" s="2" t="s">
        <v>6</v>
      </c>
      <c r="C21" s="2" t="s">
        <v>80</v>
      </c>
    </row>
    <row r="22" spans="1:5" x14ac:dyDescent="0.2">
      <c r="A22" s="2">
        <v>5</v>
      </c>
      <c r="B22" s="2" t="s">
        <v>6</v>
      </c>
      <c r="C22" s="2" t="s">
        <v>79</v>
      </c>
    </row>
    <row r="23" spans="1:5" x14ac:dyDescent="0.2">
      <c r="A23" s="2">
        <v>5</v>
      </c>
      <c r="B23" s="2" t="s">
        <v>6</v>
      </c>
      <c r="C23" s="2" t="s">
        <v>77</v>
      </c>
      <c r="D23" s="2" t="s">
        <v>109</v>
      </c>
      <c r="E23" s="2" t="s">
        <v>3</v>
      </c>
    </row>
    <row r="24" spans="1:5" x14ac:dyDescent="0.2">
      <c r="A24" s="2">
        <v>5</v>
      </c>
      <c r="B24" s="2" t="s">
        <v>6</v>
      </c>
      <c r="C24" s="2" t="s">
        <v>76</v>
      </c>
      <c r="D24" s="2" t="s">
        <v>40</v>
      </c>
      <c r="E24" s="2" t="s">
        <v>3</v>
      </c>
    </row>
    <row r="25" spans="1:5" x14ac:dyDescent="0.2">
      <c r="A25" s="2">
        <v>5</v>
      </c>
      <c r="B25" s="2" t="s">
        <v>6</v>
      </c>
      <c r="C25" s="2" t="s">
        <v>75</v>
      </c>
      <c r="D25" s="2" t="s">
        <v>108</v>
      </c>
      <c r="E25" s="2" t="s">
        <v>23</v>
      </c>
    </row>
    <row r="26" spans="1:5" x14ac:dyDescent="0.2">
      <c r="A26" s="2">
        <v>5</v>
      </c>
      <c r="B26" s="2" t="s">
        <v>6</v>
      </c>
      <c r="C26" s="2" t="s">
        <v>74</v>
      </c>
    </row>
    <row r="27" spans="1:5" x14ac:dyDescent="0.2">
      <c r="A27" s="2">
        <v>5</v>
      </c>
      <c r="B27" s="2" t="s">
        <v>6</v>
      </c>
      <c r="C27" s="2" t="s">
        <v>73</v>
      </c>
      <c r="D27" s="2" t="s">
        <v>107</v>
      </c>
      <c r="E27" s="2" t="s">
        <v>3</v>
      </c>
    </row>
    <row r="28" spans="1:5" x14ac:dyDescent="0.2">
      <c r="A28" s="2">
        <v>5</v>
      </c>
      <c r="B28" s="2" t="s">
        <v>6</v>
      </c>
      <c r="C28" s="2" t="s">
        <v>71</v>
      </c>
    </row>
    <row r="29" spans="1:5" x14ac:dyDescent="0.2">
      <c r="A29" s="2">
        <v>5</v>
      </c>
      <c r="B29" s="2" t="s">
        <v>6</v>
      </c>
      <c r="C29" s="2" t="s">
        <v>69</v>
      </c>
    </row>
    <row r="30" spans="1:5" x14ac:dyDescent="0.2">
      <c r="A30" s="2">
        <v>5</v>
      </c>
      <c r="B30" s="2" t="s">
        <v>6</v>
      </c>
      <c r="C30" s="2" t="s">
        <v>68</v>
      </c>
    </row>
    <row r="31" spans="1:5" x14ac:dyDescent="0.2">
      <c r="A31" s="2">
        <v>7</v>
      </c>
      <c r="B31" s="2" t="s">
        <v>1</v>
      </c>
      <c r="C31" s="2" t="s">
        <v>102</v>
      </c>
      <c r="D31" s="2" t="s">
        <v>44</v>
      </c>
      <c r="E31" s="2" t="s">
        <v>3</v>
      </c>
    </row>
    <row r="32" spans="1:5" x14ac:dyDescent="0.2">
      <c r="A32" s="2">
        <v>7</v>
      </c>
      <c r="B32" s="2" t="s">
        <v>1</v>
      </c>
      <c r="C32" s="2" t="s">
        <v>100</v>
      </c>
      <c r="D32" s="2" t="s">
        <v>8</v>
      </c>
      <c r="E32" s="2" t="s">
        <v>3</v>
      </c>
    </row>
    <row r="33" spans="1:5" x14ac:dyDescent="0.2">
      <c r="A33" s="2">
        <v>7</v>
      </c>
      <c r="B33" s="2" t="s">
        <v>1</v>
      </c>
      <c r="C33" s="2" t="s">
        <v>99</v>
      </c>
    </row>
    <row r="34" spans="1:5" x14ac:dyDescent="0.2">
      <c r="A34" s="2">
        <v>7</v>
      </c>
      <c r="B34" s="2" t="s">
        <v>1</v>
      </c>
      <c r="C34" s="2" t="s">
        <v>98</v>
      </c>
      <c r="D34" s="2" t="s">
        <v>35</v>
      </c>
      <c r="E34" s="2" t="s">
        <v>23</v>
      </c>
    </row>
    <row r="35" spans="1:5" x14ac:dyDescent="0.2">
      <c r="A35" s="2">
        <v>7</v>
      </c>
      <c r="B35" s="2" t="s">
        <v>1</v>
      </c>
      <c r="C35" s="2" t="s">
        <v>96</v>
      </c>
    </row>
    <row r="36" spans="1:5" x14ac:dyDescent="0.2">
      <c r="A36" s="2">
        <v>7</v>
      </c>
      <c r="B36" s="2" t="s">
        <v>1</v>
      </c>
      <c r="C36" s="2" t="s">
        <v>95</v>
      </c>
      <c r="D36" s="2" t="s">
        <v>36</v>
      </c>
      <c r="E36" s="2" t="s">
        <v>3</v>
      </c>
    </row>
    <row r="37" spans="1:5" x14ac:dyDescent="0.2">
      <c r="A37" s="2">
        <v>7</v>
      </c>
      <c r="B37" s="2" t="s">
        <v>1</v>
      </c>
      <c r="C37" s="2" t="s">
        <v>94</v>
      </c>
      <c r="D37" s="2" t="s">
        <v>8</v>
      </c>
      <c r="E37" s="2" t="s">
        <v>3</v>
      </c>
    </row>
    <row r="38" spans="1:5" x14ac:dyDescent="0.2">
      <c r="A38" s="2">
        <v>7</v>
      </c>
      <c r="B38" s="2" t="s">
        <v>1</v>
      </c>
      <c r="C38" s="2" t="s">
        <v>93</v>
      </c>
      <c r="D38" s="2" t="s">
        <v>12</v>
      </c>
      <c r="E38" s="2" t="s">
        <v>3</v>
      </c>
    </row>
    <row r="39" spans="1:5" x14ac:dyDescent="0.2">
      <c r="A39" s="2">
        <v>7</v>
      </c>
      <c r="B39" s="2" t="s">
        <v>1</v>
      </c>
      <c r="C39" s="2" t="s">
        <v>92</v>
      </c>
      <c r="D39" s="2" t="s">
        <v>8</v>
      </c>
      <c r="E39" s="2" t="s">
        <v>3</v>
      </c>
    </row>
    <row r="40" spans="1:5" x14ac:dyDescent="0.2">
      <c r="A40" s="2">
        <v>7</v>
      </c>
      <c r="B40" s="2" t="s">
        <v>1</v>
      </c>
      <c r="C40" s="2" t="s">
        <v>91</v>
      </c>
      <c r="D40" s="2" t="s">
        <v>4</v>
      </c>
      <c r="E40" s="2" t="s">
        <v>106</v>
      </c>
    </row>
    <row r="41" spans="1:5" x14ac:dyDescent="0.2">
      <c r="A41" s="2">
        <v>7</v>
      </c>
      <c r="B41" s="2" t="s">
        <v>1</v>
      </c>
      <c r="C41" s="2" t="s">
        <v>90</v>
      </c>
    </row>
    <row r="42" spans="1:5" x14ac:dyDescent="0.2">
      <c r="A42" s="2">
        <v>7</v>
      </c>
      <c r="B42" s="2" t="s">
        <v>1</v>
      </c>
      <c r="C42" s="2" t="s">
        <v>89</v>
      </c>
    </row>
    <row r="43" spans="1:5" x14ac:dyDescent="0.2">
      <c r="A43" s="2">
        <v>7</v>
      </c>
      <c r="B43" s="2" t="s">
        <v>1</v>
      </c>
      <c r="C43" s="2" t="s">
        <v>88</v>
      </c>
      <c r="D43" s="2" t="s">
        <v>7</v>
      </c>
      <c r="E43" s="2" t="s">
        <v>3</v>
      </c>
    </row>
    <row r="44" spans="1:5" x14ac:dyDescent="0.2">
      <c r="A44" s="2">
        <v>7</v>
      </c>
      <c r="B44" s="2" t="s">
        <v>1</v>
      </c>
      <c r="C44" s="2" t="s">
        <v>87</v>
      </c>
      <c r="D44" s="2" t="s">
        <v>8</v>
      </c>
      <c r="E44" s="2" t="s">
        <v>3</v>
      </c>
    </row>
    <row r="45" spans="1:5" x14ac:dyDescent="0.2">
      <c r="A45" s="2">
        <v>7</v>
      </c>
      <c r="B45" s="2" t="s">
        <v>1</v>
      </c>
      <c r="C45" s="2" t="s">
        <v>86</v>
      </c>
      <c r="D45" s="2" t="s">
        <v>4</v>
      </c>
      <c r="E45" s="2" t="s">
        <v>3</v>
      </c>
    </row>
    <row r="46" spans="1:5" x14ac:dyDescent="0.2">
      <c r="A46" s="2">
        <v>7</v>
      </c>
      <c r="B46" s="2" t="s">
        <v>1</v>
      </c>
      <c r="C46" s="2" t="s">
        <v>85</v>
      </c>
      <c r="D46" s="2" t="s">
        <v>36</v>
      </c>
      <c r="E46" s="2" t="s">
        <v>3</v>
      </c>
    </row>
    <row r="47" spans="1:5" x14ac:dyDescent="0.2">
      <c r="A47" s="2">
        <v>7</v>
      </c>
      <c r="B47" s="2" t="s">
        <v>1</v>
      </c>
      <c r="C47" s="2" t="s">
        <v>84</v>
      </c>
      <c r="D47" s="2" t="s">
        <v>10</v>
      </c>
      <c r="E47" s="2" t="s">
        <v>3</v>
      </c>
    </row>
    <row r="48" spans="1:5" x14ac:dyDescent="0.2">
      <c r="A48" s="2">
        <v>7</v>
      </c>
      <c r="B48" s="2" t="s">
        <v>1</v>
      </c>
      <c r="C48" s="2" t="s">
        <v>83</v>
      </c>
      <c r="D48" s="2" t="s">
        <v>35</v>
      </c>
      <c r="E48" s="2" t="s">
        <v>23</v>
      </c>
    </row>
    <row r="49" spans="1:5" x14ac:dyDescent="0.2">
      <c r="A49" s="2">
        <v>7</v>
      </c>
      <c r="B49" s="2" t="s">
        <v>1</v>
      </c>
      <c r="C49" s="2" t="s">
        <v>82</v>
      </c>
    </row>
    <row r="50" spans="1:5" x14ac:dyDescent="0.2">
      <c r="A50" s="2">
        <v>7</v>
      </c>
      <c r="B50" s="2" t="s">
        <v>1</v>
      </c>
      <c r="C50" s="2" t="s">
        <v>81</v>
      </c>
      <c r="D50" s="2" t="s">
        <v>0</v>
      </c>
      <c r="E50" s="2" t="s">
        <v>24</v>
      </c>
    </row>
    <row r="51" spans="1:5" x14ac:dyDescent="0.2">
      <c r="A51" s="2">
        <v>7</v>
      </c>
      <c r="B51" s="2" t="s">
        <v>1</v>
      </c>
      <c r="C51" s="2" t="s">
        <v>80</v>
      </c>
      <c r="D51" s="2" t="s">
        <v>2</v>
      </c>
      <c r="E51" s="2" t="s">
        <v>3</v>
      </c>
    </row>
    <row r="52" spans="1:5" x14ac:dyDescent="0.2">
      <c r="A52" s="2">
        <v>7</v>
      </c>
      <c r="B52" s="2" t="s">
        <v>1</v>
      </c>
      <c r="C52" s="2" t="s">
        <v>79</v>
      </c>
      <c r="D52" s="2" t="s">
        <v>78</v>
      </c>
      <c r="E52" s="2" t="s">
        <v>3</v>
      </c>
    </row>
    <row r="53" spans="1:5" x14ac:dyDescent="0.2">
      <c r="A53" s="2">
        <v>7</v>
      </c>
      <c r="B53" s="2" t="s">
        <v>1</v>
      </c>
      <c r="C53" s="2" t="s">
        <v>77</v>
      </c>
    </row>
    <row r="54" spans="1:5" x14ac:dyDescent="0.2">
      <c r="A54" s="2">
        <v>7</v>
      </c>
      <c r="B54" s="2" t="s">
        <v>1</v>
      </c>
      <c r="C54" s="2" t="s">
        <v>76</v>
      </c>
    </row>
    <row r="55" spans="1:5" x14ac:dyDescent="0.2">
      <c r="A55" s="2">
        <v>7</v>
      </c>
      <c r="B55" s="2" t="s">
        <v>1</v>
      </c>
      <c r="C55" s="2" t="s">
        <v>75</v>
      </c>
      <c r="D55" s="2" t="s">
        <v>35</v>
      </c>
      <c r="E55" s="2" t="s">
        <v>23</v>
      </c>
    </row>
    <row r="56" spans="1:5" x14ac:dyDescent="0.2">
      <c r="A56" s="2">
        <v>7</v>
      </c>
      <c r="B56" s="2" t="s">
        <v>1</v>
      </c>
      <c r="C56" s="2" t="s">
        <v>74</v>
      </c>
    </row>
    <row r="57" spans="1:5" x14ac:dyDescent="0.2">
      <c r="A57" s="2">
        <v>7</v>
      </c>
      <c r="B57" s="2" t="s">
        <v>1</v>
      </c>
      <c r="C57" s="2" t="s">
        <v>73</v>
      </c>
      <c r="D57" s="2" t="s">
        <v>105</v>
      </c>
      <c r="E57" s="2" t="s">
        <v>3</v>
      </c>
    </row>
    <row r="58" spans="1:5" x14ac:dyDescent="0.2">
      <c r="A58" s="2">
        <v>7</v>
      </c>
      <c r="B58" s="2" t="s">
        <v>1</v>
      </c>
      <c r="C58" s="2" t="s">
        <v>71</v>
      </c>
      <c r="D58" s="2" t="s">
        <v>104</v>
      </c>
      <c r="E58" s="2" t="s">
        <v>3</v>
      </c>
    </row>
    <row r="59" spans="1:5" x14ac:dyDescent="0.2">
      <c r="A59" s="2">
        <v>7</v>
      </c>
      <c r="B59" s="2" t="s">
        <v>1</v>
      </c>
      <c r="C59" s="2" t="s">
        <v>69</v>
      </c>
      <c r="D59" s="2" t="s">
        <v>103</v>
      </c>
      <c r="E59" s="2" t="s">
        <v>3</v>
      </c>
    </row>
    <row r="60" spans="1:5" x14ac:dyDescent="0.2">
      <c r="A60" s="2">
        <v>7</v>
      </c>
      <c r="B60" s="2" t="s">
        <v>1</v>
      </c>
      <c r="C60" s="2" t="s">
        <v>68</v>
      </c>
      <c r="D60" s="2" t="s">
        <v>10</v>
      </c>
      <c r="E60" s="2" t="s">
        <v>3</v>
      </c>
    </row>
    <row r="61" spans="1:5" x14ac:dyDescent="0.2">
      <c r="A61" s="2">
        <v>10</v>
      </c>
      <c r="B61" s="2" t="s">
        <v>11</v>
      </c>
      <c r="C61" s="2" t="s">
        <v>102</v>
      </c>
      <c r="D61" s="2" t="s">
        <v>101</v>
      </c>
      <c r="E61" s="2" t="s">
        <v>3</v>
      </c>
    </row>
    <row r="62" spans="1:5" x14ac:dyDescent="0.2">
      <c r="A62" s="2">
        <v>10</v>
      </c>
      <c r="B62" s="2" t="s">
        <v>11</v>
      </c>
      <c r="C62" s="2" t="s">
        <v>100</v>
      </c>
      <c r="D62" s="2" t="s">
        <v>27</v>
      </c>
      <c r="E62" s="2" t="s">
        <v>3</v>
      </c>
    </row>
    <row r="63" spans="1:5" x14ac:dyDescent="0.2">
      <c r="A63" s="2">
        <v>10</v>
      </c>
      <c r="B63" s="2" t="s">
        <v>11</v>
      </c>
      <c r="C63" s="2" t="s">
        <v>99</v>
      </c>
      <c r="D63" s="2" t="s">
        <v>10</v>
      </c>
      <c r="E63" s="2" t="s">
        <v>3</v>
      </c>
    </row>
    <row r="64" spans="1:5" x14ac:dyDescent="0.2">
      <c r="A64" s="2">
        <v>10</v>
      </c>
      <c r="B64" s="2" t="s">
        <v>11</v>
      </c>
      <c r="C64" s="2" t="s">
        <v>98</v>
      </c>
      <c r="D64" s="2" t="s">
        <v>33</v>
      </c>
      <c r="E64" s="2" t="s">
        <v>23</v>
      </c>
    </row>
    <row r="65" spans="1:5" x14ac:dyDescent="0.2">
      <c r="A65" s="2">
        <v>10</v>
      </c>
      <c r="B65" s="2" t="s">
        <v>11</v>
      </c>
      <c r="C65" s="2" t="s">
        <v>96</v>
      </c>
    </row>
    <row r="66" spans="1:5" x14ac:dyDescent="0.2">
      <c r="A66" s="2">
        <v>10</v>
      </c>
      <c r="B66" s="2" t="s">
        <v>11</v>
      </c>
      <c r="C66" s="2" t="s">
        <v>95</v>
      </c>
      <c r="D66" s="2" t="s">
        <v>29</v>
      </c>
      <c r="E66" s="2" t="s">
        <v>3</v>
      </c>
    </row>
    <row r="67" spans="1:5" x14ac:dyDescent="0.2">
      <c r="A67" s="2">
        <v>10</v>
      </c>
      <c r="B67" s="2" t="s">
        <v>11</v>
      </c>
      <c r="C67" s="2" t="s">
        <v>94</v>
      </c>
      <c r="D67" s="2" t="s">
        <v>8</v>
      </c>
      <c r="E67" s="2" t="s">
        <v>3</v>
      </c>
    </row>
    <row r="68" spans="1:5" x14ac:dyDescent="0.2">
      <c r="A68" s="2">
        <v>10</v>
      </c>
      <c r="B68" s="2" t="s">
        <v>11</v>
      </c>
      <c r="C68" s="2" t="s">
        <v>93</v>
      </c>
      <c r="D68" s="2" t="s">
        <v>26</v>
      </c>
      <c r="E68" s="2" t="s">
        <v>3</v>
      </c>
    </row>
    <row r="69" spans="1:5" x14ac:dyDescent="0.2">
      <c r="A69" s="2">
        <v>10</v>
      </c>
      <c r="B69" s="2" t="s">
        <v>11</v>
      </c>
      <c r="C69" s="2" t="s">
        <v>92</v>
      </c>
      <c r="D69" s="2" t="s">
        <v>25</v>
      </c>
      <c r="E69" s="2" t="s">
        <v>3</v>
      </c>
    </row>
    <row r="70" spans="1:5" x14ac:dyDescent="0.2">
      <c r="A70" s="2">
        <v>10</v>
      </c>
      <c r="B70" s="2" t="s">
        <v>11</v>
      </c>
      <c r="C70" s="2" t="s">
        <v>91</v>
      </c>
      <c r="D70" s="2" t="s">
        <v>4</v>
      </c>
      <c r="E70" s="2" t="s">
        <v>3</v>
      </c>
    </row>
    <row r="71" spans="1:5" x14ac:dyDescent="0.2">
      <c r="A71" s="2">
        <v>10</v>
      </c>
      <c r="B71" s="2" t="s">
        <v>11</v>
      </c>
      <c r="C71" s="2" t="s">
        <v>90</v>
      </c>
      <c r="D71" s="2" t="s">
        <v>2</v>
      </c>
      <c r="E71" s="2" t="s">
        <v>23</v>
      </c>
    </row>
    <row r="72" spans="1:5" x14ac:dyDescent="0.2">
      <c r="A72" s="2">
        <v>10</v>
      </c>
      <c r="B72" s="2" t="s">
        <v>11</v>
      </c>
      <c r="C72" s="2" t="s">
        <v>89</v>
      </c>
    </row>
    <row r="73" spans="1:5" x14ac:dyDescent="0.2">
      <c r="A73" s="2">
        <v>10</v>
      </c>
      <c r="B73" s="2" t="s">
        <v>11</v>
      </c>
      <c r="C73" s="2" t="s">
        <v>88</v>
      </c>
      <c r="D73" s="2" t="s">
        <v>34</v>
      </c>
      <c r="E73" s="2" t="s">
        <v>3</v>
      </c>
    </row>
    <row r="74" spans="1:5" x14ac:dyDescent="0.2">
      <c r="A74" s="2">
        <v>10</v>
      </c>
      <c r="B74" s="2" t="s">
        <v>11</v>
      </c>
      <c r="C74" s="2" t="s">
        <v>87</v>
      </c>
      <c r="D74" s="2" t="s">
        <v>5</v>
      </c>
      <c r="E74" s="2" t="s">
        <v>3</v>
      </c>
    </row>
    <row r="75" spans="1:5" x14ac:dyDescent="0.2">
      <c r="A75" s="2">
        <v>10</v>
      </c>
      <c r="B75" s="2" t="s">
        <v>11</v>
      </c>
      <c r="C75" s="2" t="s">
        <v>86</v>
      </c>
      <c r="D75" s="2" t="s">
        <v>4</v>
      </c>
      <c r="E75" s="2" t="s">
        <v>3</v>
      </c>
    </row>
    <row r="76" spans="1:5" x14ac:dyDescent="0.2">
      <c r="A76" s="2">
        <v>10</v>
      </c>
      <c r="B76" s="2" t="s">
        <v>11</v>
      </c>
      <c r="C76" s="2" t="s">
        <v>85</v>
      </c>
      <c r="D76" s="2" t="s">
        <v>33</v>
      </c>
      <c r="E76" s="2" t="s">
        <v>3</v>
      </c>
    </row>
    <row r="77" spans="1:5" x14ac:dyDescent="0.2">
      <c r="A77" s="2">
        <v>10</v>
      </c>
      <c r="B77" s="2" t="s">
        <v>11</v>
      </c>
      <c r="C77" s="2" t="s">
        <v>84</v>
      </c>
      <c r="D77" s="2" t="s">
        <v>25</v>
      </c>
      <c r="E77" s="2" t="s">
        <v>3</v>
      </c>
    </row>
    <row r="78" spans="1:5" x14ac:dyDescent="0.2">
      <c r="A78" s="2">
        <v>10</v>
      </c>
      <c r="B78" s="2" t="s">
        <v>11</v>
      </c>
      <c r="C78" s="2" t="s">
        <v>83</v>
      </c>
      <c r="D78" s="2" t="s">
        <v>33</v>
      </c>
      <c r="E78" s="2" t="s">
        <v>23</v>
      </c>
    </row>
    <row r="79" spans="1:5" x14ac:dyDescent="0.2">
      <c r="A79" s="2">
        <v>10</v>
      </c>
      <c r="B79" s="2" t="s">
        <v>11</v>
      </c>
      <c r="C79" s="2" t="s">
        <v>82</v>
      </c>
    </row>
    <row r="80" spans="1:5" x14ac:dyDescent="0.2">
      <c r="A80" s="2">
        <v>10</v>
      </c>
      <c r="B80" s="2" t="s">
        <v>11</v>
      </c>
      <c r="C80" s="2" t="s">
        <v>81</v>
      </c>
      <c r="D80" s="2" t="s">
        <v>114</v>
      </c>
      <c r="E80" s="2" t="s">
        <v>3</v>
      </c>
    </row>
    <row r="81" spans="1:5" x14ac:dyDescent="0.2">
      <c r="A81" s="2">
        <v>10</v>
      </c>
      <c r="B81" s="2" t="s">
        <v>11</v>
      </c>
      <c r="C81" s="2" t="s">
        <v>80</v>
      </c>
      <c r="D81" s="2" t="s">
        <v>2</v>
      </c>
      <c r="E81" s="2" t="s">
        <v>3</v>
      </c>
    </row>
    <row r="82" spans="1:5" x14ac:dyDescent="0.2">
      <c r="A82" s="2">
        <v>10</v>
      </c>
      <c r="B82" s="2" t="s">
        <v>11</v>
      </c>
      <c r="C82" s="2" t="s">
        <v>79</v>
      </c>
      <c r="D82" s="2" t="s">
        <v>63</v>
      </c>
      <c r="E82" s="2" t="s">
        <v>3</v>
      </c>
    </row>
    <row r="83" spans="1:5" x14ac:dyDescent="0.2">
      <c r="A83" s="2">
        <v>10</v>
      </c>
      <c r="B83" s="2" t="s">
        <v>11</v>
      </c>
      <c r="C83" s="2" t="s">
        <v>77</v>
      </c>
      <c r="D83" s="2" t="s">
        <v>37</v>
      </c>
      <c r="E83" s="2" t="s">
        <v>3</v>
      </c>
    </row>
    <row r="84" spans="1:5" x14ac:dyDescent="0.2">
      <c r="A84" s="2">
        <v>10</v>
      </c>
      <c r="B84" s="2" t="s">
        <v>11</v>
      </c>
      <c r="C84" s="2" t="s">
        <v>76</v>
      </c>
      <c r="D84" s="2" t="s">
        <v>4</v>
      </c>
      <c r="E84" s="2" t="s">
        <v>3</v>
      </c>
    </row>
    <row r="85" spans="1:5" x14ac:dyDescent="0.2">
      <c r="A85" s="2">
        <v>10</v>
      </c>
      <c r="B85" s="2" t="s">
        <v>11</v>
      </c>
      <c r="C85" s="2" t="s">
        <v>75</v>
      </c>
      <c r="D85" s="2" t="s">
        <v>35</v>
      </c>
      <c r="E85" s="2" t="s">
        <v>23</v>
      </c>
    </row>
    <row r="86" spans="1:5" x14ac:dyDescent="0.2">
      <c r="A86" s="2">
        <v>10</v>
      </c>
      <c r="B86" s="2" t="s">
        <v>11</v>
      </c>
      <c r="C86" s="2" t="s">
        <v>74</v>
      </c>
    </row>
    <row r="87" spans="1:5" x14ac:dyDescent="0.2">
      <c r="A87" s="2">
        <v>10</v>
      </c>
      <c r="B87" s="2" t="s">
        <v>11</v>
      </c>
      <c r="C87" s="2" t="s">
        <v>73</v>
      </c>
      <c r="D87" s="2" t="s">
        <v>36</v>
      </c>
      <c r="E87" s="2" t="s">
        <v>3</v>
      </c>
    </row>
    <row r="88" spans="1:5" x14ac:dyDescent="0.2">
      <c r="A88" s="2">
        <v>10</v>
      </c>
      <c r="B88" s="2" t="s">
        <v>11</v>
      </c>
      <c r="C88" s="2" t="s">
        <v>71</v>
      </c>
      <c r="D88" s="2" t="s">
        <v>101</v>
      </c>
      <c r="E88" s="2" t="s">
        <v>3</v>
      </c>
    </row>
    <row r="89" spans="1:5" x14ac:dyDescent="0.2">
      <c r="A89" s="2">
        <v>10</v>
      </c>
      <c r="B89" s="2" t="s">
        <v>11</v>
      </c>
      <c r="C89" s="2" t="s">
        <v>69</v>
      </c>
      <c r="D89" s="2" t="s">
        <v>113</v>
      </c>
      <c r="E89" s="2" t="s">
        <v>3</v>
      </c>
    </row>
    <row r="90" spans="1:5" x14ac:dyDescent="0.2">
      <c r="A90" s="2">
        <v>10</v>
      </c>
      <c r="B90" s="2" t="s">
        <v>11</v>
      </c>
      <c r="C90" s="2" t="s">
        <v>68</v>
      </c>
      <c r="D90" s="2" t="s">
        <v>10</v>
      </c>
      <c r="E90" s="2" t="s">
        <v>3</v>
      </c>
    </row>
    <row r="91" spans="1:5" x14ac:dyDescent="0.2">
      <c r="A91" s="2">
        <v>11</v>
      </c>
      <c r="B91" s="2" t="s">
        <v>17</v>
      </c>
      <c r="C91" s="2" t="s">
        <v>102</v>
      </c>
      <c r="D91" s="2" t="s">
        <v>62</v>
      </c>
      <c r="E91" s="2" t="s">
        <v>38</v>
      </c>
    </row>
    <row r="92" spans="1:5" x14ac:dyDescent="0.2">
      <c r="A92" s="2">
        <v>11</v>
      </c>
      <c r="B92" s="2" t="s">
        <v>17</v>
      </c>
      <c r="C92" s="2" t="s">
        <v>100</v>
      </c>
      <c r="D92" s="2" t="s">
        <v>27</v>
      </c>
      <c r="E92" s="2" t="s">
        <v>24</v>
      </c>
    </row>
    <row r="93" spans="1:5" x14ac:dyDescent="0.2">
      <c r="A93" s="2">
        <v>11</v>
      </c>
      <c r="B93" s="2" t="s">
        <v>17</v>
      </c>
      <c r="C93" s="2" t="s">
        <v>99</v>
      </c>
      <c r="D93" s="2" t="s">
        <v>10</v>
      </c>
      <c r="E93" s="2" t="s">
        <v>30</v>
      </c>
    </row>
    <row r="94" spans="1:5" x14ac:dyDescent="0.2">
      <c r="A94" s="2">
        <v>11</v>
      </c>
      <c r="B94" s="2" t="s">
        <v>17</v>
      </c>
      <c r="C94" s="2" t="s">
        <v>98</v>
      </c>
      <c r="D94" s="2" t="s">
        <v>33</v>
      </c>
      <c r="E94" s="2" t="s">
        <v>97</v>
      </c>
    </row>
    <row r="95" spans="1:5" x14ac:dyDescent="0.2">
      <c r="A95" s="2">
        <v>11</v>
      </c>
      <c r="B95" s="2" t="s">
        <v>17</v>
      </c>
      <c r="C95" s="2" t="s">
        <v>96</v>
      </c>
    </row>
    <row r="96" spans="1:5" x14ac:dyDescent="0.2">
      <c r="A96" s="2">
        <v>11</v>
      </c>
      <c r="B96" s="2" t="s">
        <v>17</v>
      </c>
      <c r="C96" s="2" t="s">
        <v>95</v>
      </c>
      <c r="D96" s="2" t="s">
        <v>29</v>
      </c>
      <c r="E96" s="2" t="s">
        <v>43</v>
      </c>
    </row>
    <row r="97" spans="1:5" x14ac:dyDescent="0.2">
      <c r="A97" s="2">
        <v>11</v>
      </c>
      <c r="B97" s="2" t="s">
        <v>17</v>
      </c>
      <c r="C97" s="2" t="s">
        <v>94</v>
      </c>
      <c r="D97" s="2" t="s">
        <v>8</v>
      </c>
      <c r="E97" s="2" t="s">
        <v>30</v>
      </c>
    </row>
    <row r="98" spans="1:5" x14ac:dyDescent="0.2">
      <c r="A98" s="2">
        <v>11</v>
      </c>
      <c r="B98" s="2" t="s">
        <v>17</v>
      </c>
      <c r="C98" s="2" t="s">
        <v>93</v>
      </c>
      <c r="D98" s="2" t="s">
        <v>26</v>
      </c>
      <c r="E98" s="2" t="s">
        <v>129</v>
      </c>
    </row>
    <row r="99" spans="1:5" x14ac:dyDescent="0.2">
      <c r="A99" s="2">
        <v>11</v>
      </c>
      <c r="B99" s="2" t="s">
        <v>17</v>
      </c>
      <c r="C99" s="2" t="s">
        <v>92</v>
      </c>
      <c r="D99" s="2" t="s">
        <v>25</v>
      </c>
      <c r="E99" s="2" t="s">
        <v>43</v>
      </c>
    </row>
    <row r="100" spans="1:5" x14ac:dyDescent="0.2">
      <c r="A100" s="2">
        <v>11</v>
      </c>
      <c r="B100" s="2" t="s">
        <v>17</v>
      </c>
      <c r="C100" s="2" t="s">
        <v>91</v>
      </c>
      <c r="D100" s="2" t="s">
        <v>4</v>
      </c>
      <c r="E100" s="2" t="s">
        <v>45</v>
      </c>
    </row>
    <row r="101" spans="1:5" x14ac:dyDescent="0.2">
      <c r="A101" s="2">
        <v>11</v>
      </c>
      <c r="B101" s="2" t="s">
        <v>17</v>
      </c>
      <c r="C101" s="2" t="s">
        <v>90</v>
      </c>
      <c r="D101" s="2" t="s">
        <v>2</v>
      </c>
      <c r="E101" s="2" t="s">
        <v>97</v>
      </c>
    </row>
    <row r="102" spans="1:5" x14ac:dyDescent="0.2">
      <c r="A102" s="2">
        <v>11</v>
      </c>
      <c r="B102" s="2" t="s">
        <v>17</v>
      </c>
      <c r="C102" s="2" t="s">
        <v>89</v>
      </c>
    </row>
    <row r="103" spans="1:5" x14ac:dyDescent="0.2">
      <c r="A103" s="2">
        <v>11</v>
      </c>
      <c r="B103" s="2" t="s">
        <v>17</v>
      </c>
      <c r="C103" s="2" t="s">
        <v>88</v>
      </c>
    </row>
    <row r="104" spans="1:5" x14ac:dyDescent="0.2">
      <c r="A104" s="2">
        <v>11</v>
      </c>
      <c r="B104" s="2" t="s">
        <v>17</v>
      </c>
      <c r="C104" s="2" t="s">
        <v>87</v>
      </c>
      <c r="D104" s="2" t="s">
        <v>25</v>
      </c>
      <c r="E104" s="2" t="s">
        <v>46</v>
      </c>
    </row>
    <row r="105" spans="1:5" x14ac:dyDescent="0.2">
      <c r="A105" s="2">
        <v>11</v>
      </c>
      <c r="B105" s="2" t="s">
        <v>17</v>
      </c>
      <c r="C105" s="2" t="s">
        <v>86</v>
      </c>
      <c r="D105" s="2" t="s">
        <v>4</v>
      </c>
      <c r="E105" s="2" t="s">
        <v>41</v>
      </c>
    </row>
    <row r="106" spans="1:5" x14ac:dyDescent="0.2">
      <c r="A106" s="2">
        <v>11</v>
      </c>
      <c r="B106" s="2" t="s">
        <v>17</v>
      </c>
      <c r="C106" s="2" t="s">
        <v>85</v>
      </c>
      <c r="D106" s="2" t="s">
        <v>33</v>
      </c>
      <c r="E106" s="2" t="s">
        <v>24</v>
      </c>
    </row>
    <row r="107" spans="1:5" x14ac:dyDescent="0.2">
      <c r="A107" s="2">
        <v>11</v>
      </c>
      <c r="B107" s="2" t="s">
        <v>17</v>
      </c>
      <c r="C107" s="2" t="s">
        <v>84</v>
      </c>
      <c r="D107" s="2" t="s">
        <v>25</v>
      </c>
      <c r="E107" s="2" t="s">
        <v>41</v>
      </c>
    </row>
    <row r="108" spans="1:5" x14ac:dyDescent="0.2">
      <c r="A108" s="2">
        <v>11</v>
      </c>
      <c r="B108" s="2" t="s">
        <v>17</v>
      </c>
      <c r="C108" s="2" t="s">
        <v>83</v>
      </c>
      <c r="D108" s="2" t="s">
        <v>33</v>
      </c>
      <c r="E108" s="2" t="s">
        <v>23</v>
      </c>
    </row>
    <row r="109" spans="1:5" x14ac:dyDescent="0.2">
      <c r="A109" s="2">
        <v>11</v>
      </c>
      <c r="B109" s="2" t="s">
        <v>17</v>
      </c>
      <c r="C109" s="2" t="s">
        <v>82</v>
      </c>
    </row>
    <row r="110" spans="1:5" x14ac:dyDescent="0.2">
      <c r="A110" s="2">
        <v>11</v>
      </c>
      <c r="B110" s="2" t="s">
        <v>17</v>
      </c>
      <c r="C110" s="2" t="s">
        <v>81</v>
      </c>
    </row>
    <row r="111" spans="1:5" x14ac:dyDescent="0.2">
      <c r="A111" s="2">
        <v>11</v>
      </c>
      <c r="B111" s="2" t="s">
        <v>17</v>
      </c>
      <c r="C111" s="2" t="s">
        <v>80</v>
      </c>
      <c r="D111" s="2" t="s">
        <v>2</v>
      </c>
      <c r="E111" s="2" t="s">
        <v>28</v>
      </c>
    </row>
    <row r="112" spans="1:5" x14ac:dyDescent="0.2">
      <c r="A112" s="2">
        <v>11</v>
      </c>
      <c r="B112" s="2" t="s">
        <v>17</v>
      </c>
      <c r="C112" s="2" t="s">
        <v>79</v>
      </c>
    </row>
    <row r="113" spans="1:5" x14ac:dyDescent="0.2">
      <c r="A113" s="2">
        <v>11</v>
      </c>
      <c r="B113" s="2" t="s">
        <v>17</v>
      </c>
      <c r="C113" s="2" t="s">
        <v>77</v>
      </c>
      <c r="D113" s="2" t="s">
        <v>37</v>
      </c>
      <c r="E113" s="2" t="s">
        <v>132</v>
      </c>
    </row>
    <row r="114" spans="1:5" x14ac:dyDescent="0.2">
      <c r="A114" s="2">
        <v>11</v>
      </c>
      <c r="B114" s="2" t="s">
        <v>17</v>
      </c>
      <c r="C114" s="2" t="s">
        <v>76</v>
      </c>
      <c r="D114" s="2" t="s">
        <v>4</v>
      </c>
      <c r="E114" s="2" t="s">
        <v>131</v>
      </c>
    </row>
    <row r="115" spans="1:5" x14ac:dyDescent="0.2">
      <c r="A115" s="2">
        <v>11</v>
      </c>
      <c r="B115" s="2" t="s">
        <v>17</v>
      </c>
      <c r="C115" s="2" t="s">
        <v>75</v>
      </c>
    </row>
    <row r="116" spans="1:5" x14ac:dyDescent="0.2">
      <c r="A116" s="2">
        <v>11</v>
      </c>
      <c r="B116" s="2" t="s">
        <v>17</v>
      </c>
      <c r="C116" s="2" t="s">
        <v>74</v>
      </c>
    </row>
    <row r="117" spans="1:5" x14ac:dyDescent="0.2">
      <c r="A117" s="2">
        <v>11</v>
      </c>
      <c r="B117" s="2" t="s">
        <v>17</v>
      </c>
      <c r="C117" s="2" t="s">
        <v>73</v>
      </c>
      <c r="D117" s="2" t="s">
        <v>36</v>
      </c>
      <c r="E117" s="2" t="s">
        <v>116</v>
      </c>
    </row>
    <row r="118" spans="1:5" x14ac:dyDescent="0.2">
      <c r="A118" s="2">
        <v>11</v>
      </c>
      <c r="B118" s="2" t="s">
        <v>17</v>
      </c>
      <c r="C118" s="2" t="s">
        <v>71</v>
      </c>
      <c r="D118" s="2" t="s">
        <v>44</v>
      </c>
      <c r="E118" s="2" t="s">
        <v>24</v>
      </c>
    </row>
    <row r="119" spans="1:5" x14ac:dyDescent="0.2">
      <c r="A119" s="2">
        <v>11</v>
      </c>
      <c r="B119" s="2" t="s">
        <v>17</v>
      </c>
      <c r="C119" s="2" t="s">
        <v>69</v>
      </c>
      <c r="D119" s="2" t="s">
        <v>113</v>
      </c>
      <c r="E119" s="2" t="s">
        <v>24</v>
      </c>
    </row>
    <row r="120" spans="1:5" x14ac:dyDescent="0.2">
      <c r="A120" s="2">
        <v>11</v>
      </c>
      <c r="B120" s="2" t="s">
        <v>17</v>
      </c>
      <c r="C120" s="2" t="s">
        <v>68</v>
      </c>
    </row>
    <row r="121" spans="1:5" x14ac:dyDescent="0.2">
      <c r="A121" s="2">
        <v>14</v>
      </c>
      <c r="B121" s="2" t="s">
        <v>16</v>
      </c>
      <c r="C121" s="2" t="s">
        <v>102</v>
      </c>
    </row>
    <row r="122" spans="1:5" x14ac:dyDescent="0.2">
      <c r="A122" s="2">
        <v>14</v>
      </c>
      <c r="B122" s="2" t="s">
        <v>16</v>
      </c>
      <c r="C122" s="2" t="s">
        <v>100</v>
      </c>
      <c r="D122" s="2" t="s">
        <v>39</v>
      </c>
      <c r="E122" s="2" t="s">
        <v>24</v>
      </c>
    </row>
    <row r="123" spans="1:5" x14ac:dyDescent="0.2">
      <c r="A123" s="2">
        <v>14</v>
      </c>
      <c r="B123" s="2" t="s">
        <v>16</v>
      </c>
      <c r="C123" s="2" t="s">
        <v>99</v>
      </c>
      <c r="D123" s="2" t="s">
        <v>9</v>
      </c>
      <c r="E123" s="2" t="s">
        <v>130</v>
      </c>
    </row>
    <row r="124" spans="1:5" x14ac:dyDescent="0.2">
      <c r="A124" s="2">
        <v>14</v>
      </c>
      <c r="B124" s="2" t="s">
        <v>16</v>
      </c>
      <c r="C124" s="2" t="s">
        <v>98</v>
      </c>
    </row>
    <row r="125" spans="1:5" x14ac:dyDescent="0.2">
      <c r="A125" s="2">
        <v>14</v>
      </c>
      <c r="B125" s="2" t="s">
        <v>16</v>
      </c>
      <c r="C125" s="2" t="s">
        <v>96</v>
      </c>
    </row>
    <row r="126" spans="1:5" x14ac:dyDescent="0.2">
      <c r="A126" s="2">
        <v>14</v>
      </c>
      <c r="B126" s="2" t="s">
        <v>16</v>
      </c>
      <c r="C126" s="2" t="s">
        <v>95</v>
      </c>
      <c r="D126" s="2" t="s">
        <v>32</v>
      </c>
      <c r="E126" s="2" t="s">
        <v>24</v>
      </c>
    </row>
    <row r="127" spans="1:5" x14ac:dyDescent="0.2">
      <c r="A127" s="2">
        <v>14</v>
      </c>
      <c r="B127" s="2" t="s">
        <v>16</v>
      </c>
      <c r="C127" s="2" t="s">
        <v>94</v>
      </c>
      <c r="D127" s="2" t="s">
        <v>42</v>
      </c>
      <c r="E127" s="2" t="s">
        <v>30</v>
      </c>
    </row>
    <row r="128" spans="1:5" x14ac:dyDescent="0.2">
      <c r="A128" s="2">
        <v>14</v>
      </c>
      <c r="B128" s="2" t="s">
        <v>16</v>
      </c>
      <c r="C128" s="2" t="s">
        <v>93</v>
      </c>
      <c r="D128" s="2" t="s">
        <v>35</v>
      </c>
      <c r="E128" s="2" t="s">
        <v>129</v>
      </c>
    </row>
    <row r="129" spans="1:5" x14ac:dyDescent="0.2">
      <c r="A129" s="2">
        <v>14</v>
      </c>
      <c r="B129" s="2" t="s">
        <v>16</v>
      </c>
      <c r="C129" s="2" t="s">
        <v>92</v>
      </c>
      <c r="D129" s="2" t="s">
        <v>33</v>
      </c>
      <c r="E129" s="2" t="s">
        <v>128</v>
      </c>
    </row>
    <row r="130" spans="1:5" x14ac:dyDescent="0.2">
      <c r="A130" s="2">
        <v>14</v>
      </c>
      <c r="B130" s="2" t="s">
        <v>16</v>
      </c>
      <c r="C130" s="2" t="s">
        <v>91</v>
      </c>
      <c r="D130" s="2" t="s">
        <v>60</v>
      </c>
      <c r="E130" s="2" t="s">
        <v>127</v>
      </c>
    </row>
    <row r="131" spans="1:5" x14ac:dyDescent="0.2">
      <c r="A131" s="2">
        <v>14</v>
      </c>
      <c r="B131" s="2" t="s">
        <v>16</v>
      </c>
      <c r="C131" s="2" t="s">
        <v>90</v>
      </c>
    </row>
    <row r="132" spans="1:5" x14ac:dyDescent="0.2">
      <c r="A132" s="2">
        <v>14</v>
      </c>
      <c r="B132" s="2" t="s">
        <v>16</v>
      </c>
      <c r="C132" s="2" t="s">
        <v>89</v>
      </c>
    </row>
    <row r="133" spans="1:5" x14ac:dyDescent="0.2">
      <c r="A133" s="2">
        <v>14</v>
      </c>
      <c r="B133" s="2" t="s">
        <v>16</v>
      </c>
      <c r="C133" s="2" t="s">
        <v>88</v>
      </c>
      <c r="D133" s="2" t="s">
        <v>9</v>
      </c>
      <c r="E133" s="2" t="s">
        <v>24</v>
      </c>
    </row>
    <row r="134" spans="1:5" x14ac:dyDescent="0.2">
      <c r="A134" s="2">
        <v>14</v>
      </c>
      <c r="B134" s="2" t="s">
        <v>16</v>
      </c>
      <c r="C134" s="2" t="s">
        <v>87</v>
      </c>
      <c r="D134" s="2" t="s">
        <v>4</v>
      </c>
      <c r="E134" s="2" t="s">
        <v>126</v>
      </c>
    </row>
    <row r="135" spans="1:5" x14ac:dyDescent="0.2">
      <c r="A135" s="2">
        <v>14</v>
      </c>
      <c r="B135" s="2" t="s">
        <v>16</v>
      </c>
      <c r="C135" s="2" t="s">
        <v>86</v>
      </c>
    </row>
    <row r="136" spans="1:5" x14ac:dyDescent="0.2">
      <c r="A136" s="2">
        <v>14</v>
      </c>
      <c r="B136" s="2" t="s">
        <v>16</v>
      </c>
      <c r="C136" s="2" t="s">
        <v>85</v>
      </c>
      <c r="D136" s="2" t="s">
        <v>36</v>
      </c>
      <c r="E136" s="2" t="s">
        <v>46</v>
      </c>
    </row>
    <row r="137" spans="1:5" x14ac:dyDescent="0.2">
      <c r="A137" s="2">
        <v>14</v>
      </c>
      <c r="B137" s="2" t="s">
        <v>16</v>
      </c>
      <c r="C137" s="2" t="s">
        <v>84</v>
      </c>
      <c r="D137" s="2" t="s">
        <v>125</v>
      </c>
      <c r="E137" s="2" t="s">
        <v>124</v>
      </c>
    </row>
    <row r="138" spans="1:5" x14ac:dyDescent="0.2">
      <c r="A138" s="2">
        <v>14</v>
      </c>
      <c r="B138" s="2" t="s">
        <v>16</v>
      </c>
      <c r="C138" s="2" t="s">
        <v>83</v>
      </c>
    </row>
    <row r="139" spans="1:5" x14ac:dyDescent="0.2">
      <c r="A139" s="2">
        <v>14</v>
      </c>
      <c r="B139" s="2" t="s">
        <v>16</v>
      </c>
      <c r="C139" s="2" t="s">
        <v>82</v>
      </c>
    </row>
    <row r="140" spans="1:5" x14ac:dyDescent="0.2">
      <c r="A140" s="2">
        <v>14</v>
      </c>
      <c r="B140" s="2" t="s">
        <v>16</v>
      </c>
      <c r="C140" s="2" t="s">
        <v>81</v>
      </c>
      <c r="D140" s="2" t="s">
        <v>25</v>
      </c>
      <c r="E140" s="2" t="s">
        <v>119</v>
      </c>
    </row>
    <row r="141" spans="1:5" x14ac:dyDescent="0.2">
      <c r="A141" s="2">
        <v>14</v>
      </c>
      <c r="B141" s="2" t="s">
        <v>16</v>
      </c>
      <c r="C141" s="2" t="s">
        <v>80</v>
      </c>
    </row>
    <row r="142" spans="1:5" x14ac:dyDescent="0.2">
      <c r="A142" s="2">
        <v>14</v>
      </c>
      <c r="B142" s="2" t="s">
        <v>16</v>
      </c>
      <c r="C142" s="2" t="s">
        <v>79</v>
      </c>
      <c r="D142" s="2" t="s">
        <v>33</v>
      </c>
      <c r="E142" s="2" t="s">
        <v>123</v>
      </c>
    </row>
    <row r="143" spans="1:5" x14ac:dyDescent="0.2">
      <c r="A143" s="2">
        <v>14</v>
      </c>
      <c r="B143" s="2" t="s">
        <v>16</v>
      </c>
      <c r="C143" s="2" t="s">
        <v>77</v>
      </c>
      <c r="D143" s="2" t="s">
        <v>34</v>
      </c>
      <c r="E143" s="2" t="s">
        <v>122</v>
      </c>
    </row>
    <row r="144" spans="1:5" x14ac:dyDescent="0.2">
      <c r="A144" s="2">
        <v>14</v>
      </c>
      <c r="B144" s="2" t="s">
        <v>16</v>
      </c>
      <c r="C144" s="2" t="s">
        <v>76</v>
      </c>
    </row>
    <row r="145" spans="1:5" x14ac:dyDescent="0.2">
      <c r="A145" s="2">
        <v>14</v>
      </c>
      <c r="B145" s="2" t="s">
        <v>16</v>
      </c>
      <c r="C145" s="2" t="s">
        <v>75</v>
      </c>
    </row>
    <row r="146" spans="1:5" x14ac:dyDescent="0.2">
      <c r="A146" s="2">
        <v>14</v>
      </c>
      <c r="B146" s="2" t="s">
        <v>16</v>
      </c>
      <c r="C146" s="2" t="s">
        <v>74</v>
      </c>
    </row>
    <row r="147" spans="1:5" x14ac:dyDescent="0.2">
      <c r="A147" s="2">
        <v>14</v>
      </c>
      <c r="B147" s="2" t="s">
        <v>16</v>
      </c>
      <c r="C147" s="2" t="s">
        <v>73</v>
      </c>
      <c r="D147" s="2" t="s">
        <v>37</v>
      </c>
      <c r="E147" s="2" t="s">
        <v>121</v>
      </c>
    </row>
    <row r="148" spans="1:5" x14ac:dyDescent="0.2">
      <c r="A148" s="2">
        <v>14</v>
      </c>
      <c r="B148" s="2" t="s">
        <v>16</v>
      </c>
      <c r="C148" s="2" t="s">
        <v>71</v>
      </c>
      <c r="D148" s="2" t="s">
        <v>9</v>
      </c>
      <c r="E148" s="2" t="s">
        <v>120</v>
      </c>
    </row>
    <row r="149" spans="1:5" x14ac:dyDescent="0.2">
      <c r="A149" s="2">
        <v>14</v>
      </c>
      <c r="B149" s="2" t="s">
        <v>16</v>
      </c>
      <c r="C149" s="2" t="s">
        <v>69</v>
      </c>
    </row>
    <row r="150" spans="1:5" x14ac:dyDescent="0.2">
      <c r="A150" s="2">
        <v>14</v>
      </c>
      <c r="B150" s="2" t="s">
        <v>16</v>
      </c>
      <c r="C150" s="2" t="s">
        <v>68</v>
      </c>
    </row>
    <row r="151" spans="1:5" x14ac:dyDescent="0.2">
      <c r="A151" s="2">
        <v>15</v>
      </c>
      <c r="B151" s="2" t="s">
        <v>15</v>
      </c>
      <c r="C151" s="2" t="s">
        <v>102</v>
      </c>
    </row>
    <row r="152" spans="1:5" x14ac:dyDescent="0.2">
      <c r="A152" s="2">
        <v>15</v>
      </c>
      <c r="B152" s="2" t="s">
        <v>15</v>
      </c>
      <c r="C152" s="2" t="s">
        <v>100</v>
      </c>
    </row>
    <row r="153" spans="1:5" x14ac:dyDescent="0.2">
      <c r="A153" s="2">
        <v>15</v>
      </c>
      <c r="B153" s="2" t="s">
        <v>15</v>
      </c>
      <c r="C153" s="2" t="s">
        <v>99</v>
      </c>
    </row>
    <row r="154" spans="1:5" x14ac:dyDescent="0.2">
      <c r="A154" s="2">
        <v>15</v>
      </c>
      <c r="B154" s="2" t="s">
        <v>15</v>
      </c>
      <c r="C154" s="2" t="s">
        <v>98</v>
      </c>
    </row>
    <row r="155" spans="1:5" x14ac:dyDescent="0.2">
      <c r="A155" s="2">
        <v>15</v>
      </c>
      <c r="B155" s="2" t="s">
        <v>15</v>
      </c>
      <c r="C155" s="2" t="s">
        <v>96</v>
      </c>
    </row>
    <row r="156" spans="1:5" x14ac:dyDescent="0.2">
      <c r="A156" s="2">
        <v>15</v>
      </c>
      <c r="B156" s="2" t="s">
        <v>15</v>
      </c>
      <c r="C156" s="2" t="s">
        <v>95</v>
      </c>
    </row>
    <row r="157" spans="1:5" x14ac:dyDescent="0.2">
      <c r="A157" s="2">
        <v>15</v>
      </c>
      <c r="B157" s="2" t="s">
        <v>15</v>
      </c>
      <c r="C157" s="2" t="s">
        <v>94</v>
      </c>
    </row>
    <row r="158" spans="1:5" x14ac:dyDescent="0.2">
      <c r="A158" s="2">
        <v>15</v>
      </c>
      <c r="B158" s="2" t="s">
        <v>15</v>
      </c>
      <c r="C158" s="2" t="s">
        <v>93</v>
      </c>
    </row>
    <row r="159" spans="1:5" x14ac:dyDescent="0.2">
      <c r="A159" s="2">
        <v>15</v>
      </c>
      <c r="B159" s="2" t="s">
        <v>15</v>
      </c>
      <c r="C159" s="2" t="s">
        <v>92</v>
      </c>
    </row>
    <row r="160" spans="1:5" x14ac:dyDescent="0.2">
      <c r="A160" s="2">
        <v>15</v>
      </c>
      <c r="B160" s="2" t="s">
        <v>15</v>
      </c>
      <c r="C160" s="2" t="s">
        <v>91</v>
      </c>
    </row>
    <row r="161" spans="1:3" x14ac:dyDescent="0.2">
      <c r="A161" s="2">
        <v>15</v>
      </c>
      <c r="B161" s="2" t="s">
        <v>15</v>
      </c>
      <c r="C161" s="2" t="s">
        <v>90</v>
      </c>
    </row>
    <row r="162" spans="1:3" x14ac:dyDescent="0.2">
      <c r="A162" s="2">
        <v>15</v>
      </c>
      <c r="B162" s="2" t="s">
        <v>15</v>
      </c>
      <c r="C162" s="2" t="s">
        <v>89</v>
      </c>
    </row>
    <row r="163" spans="1:3" x14ac:dyDescent="0.2">
      <c r="A163" s="2">
        <v>15</v>
      </c>
      <c r="B163" s="2" t="s">
        <v>15</v>
      </c>
      <c r="C163" s="2" t="s">
        <v>88</v>
      </c>
    </row>
    <row r="164" spans="1:3" x14ac:dyDescent="0.2">
      <c r="A164" s="2">
        <v>15</v>
      </c>
      <c r="B164" s="2" t="s">
        <v>15</v>
      </c>
      <c r="C164" s="2" t="s">
        <v>87</v>
      </c>
    </row>
    <row r="165" spans="1:3" x14ac:dyDescent="0.2">
      <c r="A165" s="2">
        <v>15</v>
      </c>
      <c r="B165" s="2" t="s">
        <v>15</v>
      </c>
      <c r="C165" s="2" t="s">
        <v>86</v>
      </c>
    </row>
    <row r="166" spans="1:3" x14ac:dyDescent="0.2">
      <c r="A166" s="2">
        <v>15</v>
      </c>
      <c r="B166" s="2" t="s">
        <v>15</v>
      </c>
      <c r="C166" s="2" t="s">
        <v>85</v>
      </c>
    </row>
    <row r="167" spans="1:3" x14ac:dyDescent="0.2">
      <c r="A167" s="2">
        <v>15</v>
      </c>
      <c r="B167" s="2" t="s">
        <v>15</v>
      </c>
      <c r="C167" s="2" t="s">
        <v>84</v>
      </c>
    </row>
    <row r="168" spans="1:3" x14ac:dyDescent="0.2">
      <c r="A168" s="2">
        <v>15</v>
      </c>
      <c r="B168" s="2" t="s">
        <v>15</v>
      </c>
      <c r="C168" s="2" t="s">
        <v>83</v>
      </c>
    </row>
    <row r="169" spans="1:3" x14ac:dyDescent="0.2">
      <c r="A169" s="2">
        <v>15</v>
      </c>
      <c r="B169" s="2" t="s">
        <v>15</v>
      </c>
      <c r="C169" s="2" t="s">
        <v>82</v>
      </c>
    </row>
    <row r="170" spans="1:3" x14ac:dyDescent="0.2">
      <c r="A170" s="2">
        <v>15</v>
      </c>
      <c r="B170" s="2" t="s">
        <v>15</v>
      </c>
      <c r="C170" s="2" t="s">
        <v>81</v>
      </c>
    </row>
    <row r="171" spans="1:3" x14ac:dyDescent="0.2">
      <c r="A171" s="2">
        <v>15</v>
      </c>
      <c r="B171" s="2" t="s">
        <v>15</v>
      </c>
      <c r="C171" s="2" t="s">
        <v>80</v>
      </c>
    </row>
    <row r="172" spans="1:3" x14ac:dyDescent="0.2">
      <c r="A172" s="2">
        <v>15</v>
      </c>
      <c r="B172" s="2" t="s">
        <v>15</v>
      </c>
      <c r="C172" s="2" t="s">
        <v>79</v>
      </c>
    </row>
    <row r="173" spans="1:3" x14ac:dyDescent="0.2">
      <c r="A173" s="2">
        <v>15</v>
      </c>
      <c r="B173" s="2" t="s">
        <v>15</v>
      </c>
      <c r="C173" s="2" t="s">
        <v>77</v>
      </c>
    </row>
    <row r="174" spans="1:3" x14ac:dyDescent="0.2">
      <c r="A174" s="2">
        <v>15</v>
      </c>
      <c r="B174" s="2" t="s">
        <v>15</v>
      </c>
      <c r="C174" s="2" t="s">
        <v>76</v>
      </c>
    </row>
    <row r="175" spans="1:3" x14ac:dyDescent="0.2">
      <c r="A175" s="2">
        <v>15</v>
      </c>
      <c r="B175" s="2" t="s">
        <v>15</v>
      </c>
      <c r="C175" s="2" t="s">
        <v>75</v>
      </c>
    </row>
    <row r="176" spans="1:3" x14ac:dyDescent="0.2">
      <c r="A176" s="2">
        <v>15</v>
      </c>
      <c r="B176" s="2" t="s">
        <v>15</v>
      </c>
      <c r="C176" s="2" t="s">
        <v>74</v>
      </c>
    </row>
    <row r="177" spans="1:5" x14ac:dyDescent="0.2">
      <c r="A177" s="2">
        <v>15</v>
      </c>
      <c r="B177" s="2" t="s">
        <v>15</v>
      </c>
      <c r="C177" s="2" t="s">
        <v>73</v>
      </c>
    </row>
    <row r="178" spans="1:5" x14ac:dyDescent="0.2">
      <c r="A178" s="2">
        <v>15</v>
      </c>
      <c r="B178" s="2" t="s">
        <v>15</v>
      </c>
      <c r="C178" s="2" t="s">
        <v>71</v>
      </c>
    </row>
    <row r="179" spans="1:5" x14ac:dyDescent="0.2">
      <c r="A179" s="2">
        <v>15</v>
      </c>
      <c r="B179" s="2" t="s">
        <v>15</v>
      </c>
      <c r="C179" s="2" t="s">
        <v>69</v>
      </c>
    </row>
    <row r="180" spans="1:5" x14ac:dyDescent="0.2">
      <c r="A180" s="2">
        <v>15</v>
      </c>
      <c r="B180" s="2" t="s">
        <v>15</v>
      </c>
      <c r="C180" s="2" t="s">
        <v>68</v>
      </c>
    </row>
    <row r="181" spans="1:5" x14ac:dyDescent="0.2">
      <c r="A181" s="2">
        <v>19</v>
      </c>
      <c r="B181" s="2" t="s">
        <v>31</v>
      </c>
      <c r="C181" s="2" t="s">
        <v>102</v>
      </c>
      <c r="D181" s="2" t="s">
        <v>101</v>
      </c>
      <c r="E181" s="2" t="s">
        <v>24</v>
      </c>
    </row>
    <row r="182" spans="1:5" x14ac:dyDescent="0.2">
      <c r="A182" s="2">
        <v>19</v>
      </c>
      <c r="B182" s="2" t="s">
        <v>31</v>
      </c>
      <c r="C182" s="2" t="s">
        <v>100</v>
      </c>
      <c r="D182" s="2" t="s">
        <v>5</v>
      </c>
      <c r="E182" s="2" t="s">
        <v>28</v>
      </c>
    </row>
    <row r="183" spans="1:5" x14ac:dyDescent="0.2">
      <c r="A183" s="2">
        <v>19</v>
      </c>
      <c r="B183" s="2" t="s">
        <v>31</v>
      </c>
      <c r="C183" s="2" t="s">
        <v>99</v>
      </c>
      <c r="D183" s="2" t="s">
        <v>4</v>
      </c>
      <c r="E183" s="2" t="s">
        <v>61</v>
      </c>
    </row>
    <row r="184" spans="1:5" x14ac:dyDescent="0.2">
      <c r="A184" s="2">
        <v>19</v>
      </c>
      <c r="B184" s="2" t="s">
        <v>31</v>
      </c>
      <c r="C184" s="2" t="s">
        <v>98</v>
      </c>
      <c r="D184" s="2" t="s">
        <v>35</v>
      </c>
      <c r="E184" s="2" t="s">
        <v>97</v>
      </c>
    </row>
    <row r="185" spans="1:5" x14ac:dyDescent="0.2">
      <c r="A185" s="2">
        <v>19</v>
      </c>
      <c r="B185" s="2" t="s">
        <v>31</v>
      </c>
      <c r="C185" s="2" t="s">
        <v>96</v>
      </c>
    </row>
    <row r="186" spans="1:5" x14ac:dyDescent="0.2">
      <c r="A186" s="2">
        <v>19</v>
      </c>
      <c r="B186" s="2" t="s">
        <v>31</v>
      </c>
      <c r="C186" s="2" t="s">
        <v>95</v>
      </c>
      <c r="D186" s="2" t="s">
        <v>36</v>
      </c>
      <c r="E186" s="2" t="s">
        <v>24</v>
      </c>
    </row>
    <row r="187" spans="1:5" x14ac:dyDescent="0.2">
      <c r="A187" s="2">
        <v>19</v>
      </c>
      <c r="B187" s="2" t="s">
        <v>31</v>
      </c>
      <c r="C187" s="2" t="s">
        <v>94</v>
      </c>
      <c r="D187" s="2" t="s">
        <v>8</v>
      </c>
      <c r="E187" s="2" t="s">
        <v>24</v>
      </c>
    </row>
    <row r="188" spans="1:5" x14ac:dyDescent="0.2">
      <c r="A188" s="2">
        <v>19</v>
      </c>
      <c r="B188" s="2" t="s">
        <v>31</v>
      </c>
      <c r="C188" s="2" t="s">
        <v>93</v>
      </c>
      <c r="D188" s="2" t="s">
        <v>0</v>
      </c>
      <c r="E188" s="2" t="s">
        <v>24</v>
      </c>
    </row>
    <row r="189" spans="1:5" x14ac:dyDescent="0.2">
      <c r="A189" s="2">
        <v>19</v>
      </c>
      <c r="B189" s="2" t="s">
        <v>31</v>
      </c>
      <c r="C189" s="2" t="s">
        <v>92</v>
      </c>
      <c r="D189" s="2" t="s">
        <v>25</v>
      </c>
      <c r="E189" s="2" t="s">
        <v>24</v>
      </c>
    </row>
    <row r="190" spans="1:5" x14ac:dyDescent="0.2">
      <c r="A190" s="2">
        <v>19</v>
      </c>
      <c r="B190" s="2" t="s">
        <v>31</v>
      </c>
      <c r="C190" s="2" t="s">
        <v>91</v>
      </c>
      <c r="D190" s="2" t="s">
        <v>4</v>
      </c>
      <c r="E190" s="2" t="s">
        <v>24</v>
      </c>
    </row>
    <row r="191" spans="1:5" x14ac:dyDescent="0.2">
      <c r="A191" s="2">
        <v>19</v>
      </c>
      <c r="B191" s="2" t="s">
        <v>31</v>
      </c>
      <c r="C191" s="2" t="s">
        <v>90</v>
      </c>
      <c r="D191" s="2" t="s">
        <v>2</v>
      </c>
      <c r="E191" s="2" t="s">
        <v>23</v>
      </c>
    </row>
    <row r="192" spans="1:5" x14ac:dyDescent="0.2">
      <c r="A192" s="2">
        <v>19</v>
      </c>
      <c r="B192" s="2" t="s">
        <v>31</v>
      </c>
      <c r="C192" s="2" t="s">
        <v>89</v>
      </c>
    </row>
    <row r="193" spans="1:5" x14ac:dyDescent="0.2">
      <c r="A193" s="2">
        <v>19</v>
      </c>
      <c r="B193" s="2" t="s">
        <v>31</v>
      </c>
      <c r="C193" s="2" t="s">
        <v>88</v>
      </c>
      <c r="D193" s="2" t="s">
        <v>0</v>
      </c>
      <c r="E193" s="2" t="s">
        <v>24</v>
      </c>
    </row>
    <row r="194" spans="1:5" x14ac:dyDescent="0.2">
      <c r="A194" s="2">
        <v>19</v>
      </c>
      <c r="B194" s="2" t="s">
        <v>31</v>
      </c>
      <c r="C194" s="2" t="s">
        <v>87</v>
      </c>
      <c r="D194" s="2" t="s">
        <v>5</v>
      </c>
      <c r="E194" s="2" t="s">
        <v>24</v>
      </c>
    </row>
    <row r="195" spans="1:5" x14ac:dyDescent="0.2">
      <c r="A195" s="2">
        <v>19</v>
      </c>
      <c r="B195" s="2" t="s">
        <v>31</v>
      </c>
      <c r="C195" s="2" t="s">
        <v>86</v>
      </c>
      <c r="D195" s="2" t="s">
        <v>4</v>
      </c>
      <c r="E195" s="2" t="s">
        <v>24</v>
      </c>
    </row>
    <row r="196" spans="1:5" x14ac:dyDescent="0.2">
      <c r="A196" s="2">
        <v>19</v>
      </c>
      <c r="B196" s="2" t="s">
        <v>31</v>
      </c>
      <c r="C196" s="2" t="s">
        <v>85</v>
      </c>
      <c r="D196" s="2" t="s">
        <v>35</v>
      </c>
      <c r="E196" s="2" t="s">
        <v>24</v>
      </c>
    </row>
    <row r="197" spans="1:5" x14ac:dyDescent="0.2">
      <c r="A197" s="2">
        <v>19</v>
      </c>
      <c r="B197" s="2" t="s">
        <v>31</v>
      </c>
      <c r="C197" s="2" t="s">
        <v>84</v>
      </c>
      <c r="D197" s="2" t="s">
        <v>8</v>
      </c>
      <c r="E197" s="2" t="s">
        <v>30</v>
      </c>
    </row>
    <row r="198" spans="1:5" x14ac:dyDescent="0.2">
      <c r="A198" s="2">
        <v>19</v>
      </c>
      <c r="B198" s="2" t="s">
        <v>31</v>
      </c>
      <c r="C198" s="2" t="s">
        <v>83</v>
      </c>
      <c r="D198" s="2" t="s">
        <v>33</v>
      </c>
      <c r="E198" s="2" t="s">
        <v>23</v>
      </c>
    </row>
    <row r="199" spans="1:5" x14ac:dyDescent="0.2">
      <c r="A199" s="2">
        <v>19</v>
      </c>
      <c r="B199" s="2" t="s">
        <v>31</v>
      </c>
      <c r="C199" s="2" t="s">
        <v>82</v>
      </c>
    </row>
    <row r="200" spans="1:5" x14ac:dyDescent="0.2">
      <c r="A200" s="2">
        <v>19</v>
      </c>
      <c r="B200" s="2" t="s">
        <v>31</v>
      </c>
      <c r="C200" s="2" t="s">
        <v>81</v>
      </c>
      <c r="D200" s="2" t="s">
        <v>66</v>
      </c>
      <c r="E200" s="2" t="s">
        <v>24</v>
      </c>
    </row>
    <row r="201" spans="1:5" x14ac:dyDescent="0.2">
      <c r="A201" s="2">
        <v>19</v>
      </c>
      <c r="B201" s="2" t="s">
        <v>31</v>
      </c>
      <c r="C201" s="2" t="s">
        <v>80</v>
      </c>
      <c r="D201" s="2" t="s">
        <v>4</v>
      </c>
      <c r="E201" s="2" t="s">
        <v>24</v>
      </c>
    </row>
    <row r="202" spans="1:5" x14ac:dyDescent="0.2">
      <c r="A202" s="2">
        <v>19</v>
      </c>
      <c r="B202" s="2" t="s">
        <v>31</v>
      </c>
      <c r="C202" s="2" t="s">
        <v>79</v>
      </c>
      <c r="D202" s="2" t="s">
        <v>78</v>
      </c>
      <c r="E202" s="2" t="s">
        <v>24</v>
      </c>
    </row>
    <row r="203" spans="1:5" x14ac:dyDescent="0.2">
      <c r="A203" s="2">
        <v>19</v>
      </c>
      <c r="B203" s="2" t="s">
        <v>31</v>
      </c>
      <c r="C203" s="2" t="s">
        <v>77</v>
      </c>
      <c r="D203" s="2" t="s">
        <v>37</v>
      </c>
      <c r="E203" s="2" t="s">
        <v>24</v>
      </c>
    </row>
    <row r="204" spans="1:5" x14ac:dyDescent="0.2">
      <c r="A204" s="2">
        <v>19</v>
      </c>
      <c r="B204" s="2" t="s">
        <v>31</v>
      </c>
      <c r="C204" s="2" t="s">
        <v>76</v>
      </c>
      <c r="D204" s="2" t="s">
        <v>2</v>
      </c>
      <c r="E204" s="2" t="s">
        <v>48</v>
      </c>
    </row>
    <row r="205" spans="1:5" x14ac:dyDescent="0.2">
      <c r="A205" s="2">
        <v>19</v>
      </c>
      <c r="B205" s="2" t="s">
        <v>31</v>
      </c>
      <c r="C205" s="2" t="s">
        <v>75</v>
      </c>
      <c r="D205" s="2" t="s">
        <v>0</v>
      </c>
      <c r="E205" s="2" t="s">
        <v>23</v>
      </c>
    </row>
    <row r="206" spans="1:5" x14ac:dyDescent="0.2">
      <c r="A206" s="2">
        <v>19</v>
      </c>
      <c r="B206" s="2" t="s">
        <v>31</v>
      </c>
      <c r="C206" s="2" t="s">
        <v>74</v>
      </c>
    </row>
    <row r="207" spans="1:5" x14ac:dyDescent="0.2">
      <c r="A207" s="2">
        <v>19</v>
      </c>
      <c r="B207" s="2" t="s">
        <v>31</v>
      </c>
      <c r="C207" s="2" t="s">
        <v>73</v>
      </c>
      <c r="D207" s="2" t="s">
        <v>72</v>
      </c>
      <c r="E207" s="2" t="s">
        <v>24</v>
      </c>
    </row>
    <row r="208" spans="1:5" x14ac:dyDescent="0.2">
      <c r="A208" s="2">
        <v>19</v>
      </c>
      <c r="B208" s="2" t="s">
        <v>31</v>
      </c>
      <c r="C208" s="2" t="s">
        <v>71</v>
      </c>
      <c r="D208" s="2" t="s">
        <v>0</v>
      </c>
      <c r="E208" s="2" t="s">
        <v>70</v>
      </c>
    </row>
    <row r="209" spans="1:5" x14ac:dyDescent="0.2">
      <c r="A209" s="2">
        <v>19</v>
      </c>
      <c r="B209" s="2" t="s">
        <v>31</v>
      </c>
      <c r="C209" s="2" t="s">
        <v>69</v>
      </c>
      <c r="D209" s="2" t="s">
        <v>0</v>
      </c>
      <c r="E209" s="2" t="s">
        <v>24</v>
      </c>
    </row>
    <row r="210" spans="1:5" x14ac:dyDescent="0.2">
      <c r="A210" s="2">
        <v>19</v>
      </c>
      <c r="B210" s="2" t="s">
        <v>31</v>
      </c>
      <c r="C210" s="2" t="s">
        <v>68</v>
      </c>
      <c r="D210" s="2" t="s">
        <v>0</v>
      </c>
      <c r="E210" s="2" t="s">
        <v>24</v>
      </c>
    </row>
    <row r="211" spans="1:5" x14ac:dyDescent="0.2">
      <c r="A211" s="2">
        <v>23</v>
      </c>
      <c r="B211" s="2" t="s">
        <v>14</v>
      </c>
      <c r="C211" s="2" t="s">
        <v>102</v>
      </c>
      <c r="D211" s="2" t="s">
        <v>0</v>
      </c>
      <c r="E211" s="2" t="s">
        <v>38</v>
      </c>
    </row>
    <row r="212" spans="1:5" x14ac:dyDescent="0.2">
      <c r="A212" s="2">
        <v>23</v>
      </c>
      <c r="B212" s="2" t="s">
        <v>14</v>
      </c>
      <c r="C212" s="2" t="s">
        <v>100</v>
      </c>
      <c r="D212" s="2" t="s">
        <v>27</v>
      </c>
      <c r="E212" s="2" t="s">
        <v>38</v>
      </c>
    </row>
    <row r="213" spans="1:5" x14ac:dyDescent="0.2">
      <c r="A213" s="2">
        <v>23</v>
      </c>
      <c r="B213" s="2" t="s">
        <v>14</v>
      </c>
      <c r="C213" s="2" t="s">
        <v>99</v>
      </c>
      <c r="D213" s="2" t="s">
        <v>27</v>
      </c>
      <c r="E213" s="2" t="s">
        <v>119</v>
      </c>
    </row>
    <row r="214" spans="1:5" x14ac:dyDescent="0.2">
      <c r="A214" s="2">
        <v>23</v>
      </c>
      <c r="B214" s="2" t="s">
        <v>14</v>
      </c>
      <c r="C214" s="2" t="s">
        <v>98</v>
      </c>
      <c r="D214" s="2" t="s">
        <v>0</v>
      </c>
      <c r="E214" s="2" t="s">
        <v>97</v>
      </c>
    </row>
    <row r="215" spans="1:5" x14ac:dyDescent="0.2">
      <c r="A215" s="2">
        <v>23</v>
      </c>
      <c r="B215" s="2" t="s">
        <v>14</v>
      </c>
      <c r="C215" s="2" t="s">
        <v>96</v>
      </c>
    </row>
    <row r="216" spans="1:5" x14ac:dyDescent="0.2">
      <c r="A216" s="2">
        <v>23</v>
      </c>
      <c r="B216" s="2" t="s">
        <v>14</v>
      </c>
      <c r="C216" s="2" t="s">
        <v>95</v>
      </c>
      <c r="D216" s="2" t="s">
        <v>25</v>
      </c>
      <c r="E216" s="2" t="s">
        <v>45</v>
      </c>
    </row>
    <row r="217" spans="1:5" x14ac:dyDescent="0.2">
      <c r="A217" s="2">
        <v>23</v>
      </c>
      <c r="B217" s="2" t="s">
        <v>14</v>
      </c>
      <c r="C217" s="2" t="s">
        <v>94</v>
      </c>
      <c r="D217" s="2" t="s">
        <v>118</v>
      </c>
      <c r="E217" s="2" t="s">
        <v>117</v>
      </c>
    </row>
    <row r="218" spans="1:5" x14ac:dyDescent="0.2">
      <c r="A218" s="2">
        <v>23</v>
      </c>
      <c r="B218" s="2" t="s">
        <v>14</v>
      </c>
      <c r="C218" s="2" t="s">
        <v>93</v>
      </c>
      <c r="D218" s="2" t="s">
        <v>27</v>
      </c>
      <c r="E218" s="2" t="s">
        <v>116</v>
      </c>
    </row>
    <row r="219" spans="1:5" x14ac:dyDescent="0.2">
      <c r="A219" s="2">
        <v>23</v>
      </c>
      <c r="B219" s="2" t="s">
        <v>14</v>
      </c>
      <c r="C219" s="2" t="s">
        <v>92</v>
      </c>
      <c r="D219" s="2" t="s">
        <v>32</v>
      </c>
      <c r="E219" s="2" t="s">
        <v>43</v>
      </c>
    </row>
    <row r="220" spans="1:5" x14ac:dyDescent="0.2">
      <c r="A220" s="2">
        <v>23</v>
      </c>
      <c r="B220" s="2" t="s">
        <v>14</v>
      </c>
      <c r="C220" s="2" t="s">
        <v>91</v>
      </c>
      <c r="D220" s="2" t="s">
        <v>0</v>
      </c>
      <c r="E220" s="2" t="s">
        <v>24</v>
      </c>
    </row>
    <row r="221" spans="1:5" x14ac:dyDescent="0.2">
      <c r="A221" s="2">
        <v>23</v>
      </c>
      <c r="B221" s="2" t="s">
        <v>14</v>
      </c>
      <c r="C221" s="2" t="s">
        <v>90</v>
      </c>
      <c r="D221" s="2" t="s">
        <v>0</v>
      </c>
      <c r="E221" s="2" t="s">
        <v>23</v>
      </c>
    </row>
    <row r="222" spans="1:5" x14ac:dyDescent="0.2">
      <c r="A222" s="2">
        <v>23</v>
      </c>
      <c r="B222" s="2" t="s">
        <v>14</v>
      </c>
      <c r="C222" s="2" t="s">
        <v>89</v>
      </c>
    </row>
    <row r="223" spans="1:5" x14ac:dyDescent="0.2">
      <c r="A223" s="2">
        <v>23</v>
      </c>
      <c r="B223" s="2" t="s">
        <v>14</v>
      </c>
      <c r="C223" s="2" t="s">
        <v>88</v>
      </c>
      <c r="D223" s="2" t="s">
        <v>0</v>
      </c>
      <c r="E223" s="2" t="s">
        <v>41</v>
      </c>
    </row>
    <row r="224" spans="1:5" x14ac:dyDescent="0.2">
      <c r="A224" s="2">
        <v>23</v>
      </c>
      <c r="B224" s="2" t="s">
        <v>14</v>
      </c>
      <c r="C224" s="2" t="s">
        <v>87</v>
      </c>
      <c r="D224" s="2" t="s">
        <v>0</v>
      </c>
      <c r="E224" s="2" t="s">
        <v>45</v>
      </c>
    </row>
    <row r="225" spans="1:5" x14ac:dyDescent="0.2">
      <c r="A225" s="2">
        <v>23</v>
      </c>
      <c r="B225" s="2" t="s">
        <v>14</v>
      </c>
      <c r="C225" s="2" t="s">
        <v>86</v>
      </c>
      <c r="D225" s="2" t="s">
        <v>26</v>
      </c>
      <c r="E225" s="2" t="s">
        <v>47</v>
      </c>
    </row>
    <row r="226" spans="1:5" x14ac:dyDescent="0.2">
      <c r="A226" s="2">
        <v>23</v>
      </c>
      <c r="B226" s="2" t="s">
        <v>14</v>
      </c>
      <c r="C226" s="2" t="s">
        <v>85</v>
      </c>
      <c r="D226" s="2" t="s">
        <v>115</v>
      </c>
      <c r="E226" s="2" t="s">
        <v>46</v>
      </c>
    </row>
    <row r="227" spans="1:5" x14ac:dyDescent="0.2">
      <c r="A227" s="2">
        <v>23</v>
      </c>
      <c r="B227" s="2" t="s">
        <v>14</v>
      </c>
      <c r="C227" s="2" t="s">
        <v>84</v>
      </c>
      <c r="D227" s="2" t="s">
        <v>10</v>
      </c>
      <c r="E227" s="2" t="s">
        <v>41</v>
      </c>
    </row>
    <row r="228" spans="1:5" x14ac:dyDescent="0.2">
      <c r="A228" s="2">
        <v>23</v>
      </c>
      <c r="B228" s="2" t="s">
        <v>14</v>
      </c>
      <c r="C228" s="2" t="s">
        <v>83</v>
      </c>
      <c r="D228" s="2" t="s">
        <v>7</v>
      </c>
      <c r="E228" s="2" t="s">
        <v>23</v>
      </c>
    </row>
    <row r="229" spans="1:5" x14ac:dyDescent="0.2">
      <c r="A229" s="2">
        <v>23</v>
      </c>
      <c r="B229" s="2" t="s">
        <v>14</v>
      </c>
      <c r="C229" s="2" t="s">
        <v>82</v>
      </c>
    </row>
    <row r="230" spans="1:5" x14ac:dyDescent="0.2">
      <c r="A230" s="2">
        <v>23</v>
      </c>
      <c r="B230" s="2" t="s">
        <v>14</v>
      </c>
      <c r="C230" s="2" t="s">
        <v>81</v>
      </c>
      <c r="D230" s="2" t="s">
        <v>34</v>
      </c>
      <c r="E230" s="2" t="s">
        <v>24</v>
      </c>
    </row>
    <row r="231" spans="1:5" x14ac:dyDescent="0.2">
      <c r="A231" s="2">
        <v>23</v>
      </c>
      <c r="B231" s="2" t="s">
        <v>14</v>
      </c>
      <c r="C231" s="2" t="s">
        <v>80</v>
      </c>
    </row>
    <row r="232" spans="1:5" x14ac:dyDescent="0.2">
      <c r="A232" s="2">
        <v>23</v>
      </c>
      <c r="B232" s="2" t="s">
        <v>14</v>
      </c>
      <c r="C232" s="2" t="s">
        <v>79</v>
      </c>
      <c r="D232" s="2" t="s">
        <v>9</v>
      </c>
      <c r="E232" s="2" t="s">
        <v>24</v>
      </c>
    </row>
    <row r="233" spans="1:5" x14ac:dyDescent="0.2">
      <c r="A233" s="2">
        <v>23</v>
      </c>
      <c r="B233" s="2" t="s">
        <v>14</v>
      </c>
      <c r="C233" s="2" t="s">
        <v>77</v>
      </c>
      <c r="D233" s="2" t="s">
        <v>4</v>
      </c>
      <c r="E233" s="2" t="s">
        <v>24</v>
      </c>
    </row>
    <row r="234" spans="1:5" x14ac:dyDescent="0.2">
      <c r="A234" s="2">
        <v>23</v>
      </c>
      <c r="B234" s="2" t="s">
        <v>14</v>
      </c>
      <c r="C234" s="2" t="s">
        <v>76</v>
      </c>
      <c r="D234" s="2" t="s">
        <v>10</v>
      </c>
      <c r="E234" s="2" t="s">
        <v>24</v>
      </c>
    </row>
    <row r="235" spans="1:5" x14ac:dyDescent="0.2">
      <c r="A235" s="2">
        <v>23</v>
      </c>
      <c r="B235" s="2" t="s">
        <v>14</v>
      </c>
      <c r="C235" s="2" t="s">
        <v>75</v>
      </c>
      <c r="D235" s="2" t="s">
        <v>2</v>
      </c>
      <c r="E235" s="2" t="s">
        <v>23</v>
      </c>
    </row>
    <row r="236" spans="1:5" x14ac:dyDescent="0.2">
      <c r="A236" s="2">
        <v>23</v>
      </c>
      <c r="B236" s="2" t="s">
        <v>14</v>
      </c>
      <c r="C236" s="2" t="s">
        <v>74</v>
      </c>
    </row>
    <row r="237" spans="1:5" x14ac:dyDescent="0.2">
      <c r="A237" s="2">
        <v>23</v>
      </c>
      <c r="B237" s="2" t="s">
        <v>14</v>
      </c>
      <c r="C237" s="2" t="s">
        <v>73</v>
      </c>
      <c r="D237" s="2" t="s">
        <v>10</v>
      </c>
      <c r="E237" s="2" t="s">
        <v>24</v>
      </c>
    </row>
    <row r="238" spans="1:5" x14ac:dyDescent="0.2">
      <c r="A238" s="2">
        <v>23</v>
      </c>
      <c r="B238" s="2" t="s">
        <v>14</v>
      </c>
      <c r="C238" s="2" t="s">
        <v>71</v>
      </c>
      <c r="D238" s="2" t="s">
        <v>0</v>
      </c>
      <c r="E238" s="2" t="s">
        <v>24</v>
      </c>
    </row>
    <row r="239" spans="1:5" x14ac:dyDescent="0.2">
      <c r="A239" s="2">
        <v>23</v>
      </c>
      <c r="B239" s="2" t="s">
        <v>14</v>
      </c>
      <c r="C239" s="2" t="s">
        <v>69</v>
      </c>
      <c r="D239" s="2" t="s">
        <v>8</v>
      </c>
      <c r="E239" s="2" t="s">
        <v>24</v>
      </c>
    </row>
    <row r="240" spans="1:5" x14ac:dyDescent="0.2">
      <c r="A240" s="2">
        <v>23</v>
      </c>
      <c r="B240" s="2" t="s">
        <v>14</v>
      </c>
      <c r="C240" s="2" t="s">
        <v>68</v>
      </c>
      <c r="D240" s="2" t="s">
        <v>2</v>
      </c>
      <c r="E240" s="2" t="s">
        <v>24</v>
      </c>
    </row>
    <row r="241" spans="1:3" x14ac:dyDescent="0.2">
      <c r="A241" s="2">
        <v>25</v>
      </c>
      <c r="B241" s="2" t="s">
        <v>13</v>
      </c>
      <c r="C241" s="2" t="s">
        <v>102</v>
      </c>
    </row>
    <row r="242" spans="1:3" x14ac:dyDescent="0.2">
      <c r="A242" s="2">
        <v>25</v>
      </c>
      <c r="B242" s="2" t="s">
        <v>13</v>
      </c>
      <c r="C242" s="2" t="s">
        <v>100</v>
      </c>
    </row>
    <row r="243" spans="1:3" x14ac:dyDescent="0.2">
      <c r="A243" s="2">
        <v>25</v>
      </c>
      <c r="B243" s="2" t="s">
        <v>13</v>
      </c>
      <c r="C243" s="2" t="s">
        <v>99</v>
      </c>
    </row>
    <row r="244" spans="1:3" x14ac:dyDescent="0.2">
      <c r="A244" s="2">
        <v>25</v>
      </c>
      <c r="B244" s="2" t="s">
        <v>13</v>
      </c>
      <c r="C244" s="2" t="s">
        <v>98</v>
      </c>
    </row>
    <row r="245" spans="1:3" x14ac:dyDescent="0.2">
      <c r="A245" s="2">
        <v>25</v>
      </c>
      <c r="B245" s="2" t="s">
        <v>13</v>
      </c>
      <c r="C245" s="2" t="s">
        <v>96</v>
      </c>
    </row>
    <row r="246" spans="1:3" x14ac:dyDescent="0.2">
      <c r="A246" s="2">
        <v>25</v>
      </c>
      <c r="B246" s="2" t="s">
        <v>13</v>
      </c>
      <c r="C246" s="2" t="s">
        <v>95</v>
      </c>
    </row>
    <row r="247" spans="1:3" x14ac:dyDescent="0.2">
      <c r="A247" s="2">
        <v>25</v>
      </c>
      <c r="B247" s="2" t="s">
        <v>13</v>
      </c>
      <c r="C247" s="2" t="s">
        <v>94</v>
      </c>
    </row>
    <row r="248" spans="1:3" x14ac:dyDescent="0.2">
      <c r="A248" s="2">
        <v>25</v>
      </c>
      <c r="B248" s="2" t="s">
        <v>13</v>
      </c>
      <c r="C248" s="2" t="s">
        <v>93</v>
      </c>
    </row>
    <row r="249" spans="1:3" x14ac:dyDescent="0.2">
      <c r="A249" s="2">
        <v>25</v>
      </c>
      <c r="B249" s="2" t="s">
        <v>13</v>
      </c>
      <c r="C249" s="2" t="s">
        <v>92</v>
      </c>
    </row>
    <row r="250" spans="1:3" x14ac:dyDescent="0.2">
      <c r="A250" s="2">
        <v>25</v>
      </c>
      <c r="B250" s="2" t="s">
        <v>13</v>
      </c>
      <c r="C250" s="2" t="s">
        <v>91</v>
      </c>
    </row>
    <row r="251" spans="1:3" x14ac:dyDescent="0.2">
      <c r="A251" s="2">
        <v>25</v>
      </c>
      <c r="B251" s="2" t="s">
        <v>13</v>
      </c>
      <c r="C251" s="2" t="s">
        <v>90</v>
      </c>
    </row>
    <row r="252" spans="1:3" x14ac:dyDescent="0.2">
      <c r="A252" s="2">
        <v>25</v>
      </c>
      <c r="B252" s="2" t="s">
        <v>13</v>
      </c>
      <c r="C252" s="2" t="s">
        <v>89</v>
      </c>
    </row>
    <row r="253" spans="1:3" x14ac:dyDescent="0.2">
      <c r="A253" s="2">
        <v>25</v>
      </c>
      <c r="B253" s="2" t="s">
        <v>13</v>
      </c>
      <c r="C253" s="2" t="s">
        <v>88</v>
      </c>
    </row>
    <row r="254" spans="1:3" x14ac:dyDescent="0.2">
      <c r="A254" s="2">
        <v>25</v>
      </c>
      <c r="B254" s="2" t="s">
        <v>13</v>
      </c>
      <c r="C254" s="2" t="s">
        <v>87</v>
      </c>
    </row>
    <row r="255" spans="1:3" x14ac:dyDescent="0.2">
      <c r="A255" s="2">
        <v>25</v>
      </c>
      <c r="B255" s="2" t="s">
        <v>13</v>
      </c>
      <c r="C255" s="2" t="s">
        <v>86</v>
      </c>
    </row>
    <row r="256" spans="1:3" x14ac:dyDescent="0.2">
      <c r="A256" s="2">
        <v>25</v>
      </c>
      <c r="B256" s="2" t="s">
        <v>13</v>
      </c>
      <c r="C256" s="2" t="s">
        <v>85</v>
      </c>
    </row>
    <row r="257" spans="1:5" x14ac:dyDescent="0.2">
      <c r="A257" s="2">
        <v>25</v>
      </c>
      <c r="B257" s="2" t="s">
        <v>13</v>
      </c>
      <c r="C257" s="2" t="s">
        <v>84</v>
      </c>
    </row>
    <row r="258" spans="1:5" x14ac:dyDescent="0.2">
      <c r="A258" s="2">
        <v>25</v>
      </c>
      <c r="B258" s="2" t="s">
        <v>13</v>
      </c>
      <c r="C258" s="2" t="s">
        <v>83</v>
      </c>
    </row>
    <row r="259" spans="1:5" x14ac:dyDescent="0.2">
      <c r="A259" s="2">
        <v>25</v>
      </c>
      <c r="B259" s="2" t="s">
        <v>13</v>
      </c>
      <c r="C259" s="2" t="s">
        <v>82</v>
      </c>
    </row>
    <row r="260" spans="1:5" x14ac:dyDescent="0.2">
      <c r="A260" s="2">
        <v>25</v>
      </c>
      <c r="B260" s="2" t="s">
        <v>13</v>
      </c>
      <c r="C260" s="2" t="s">
        <v>81</v>
      </c>
    </row>
    <row r="261" spans="1:5" x14ac:dyDescent="0.2">
      <c r="A261" s="2">
        <v>25</v>
      </c>
      <c r="B261" s="2" t="s">
        <v>13</v>
      </c>
      <c r="C261" s="2" t="s">
        <v>80</v>
      </c>
    </row>
    <row r="262" spans="1:5" x14ac:dyDescent="0.2">
      <c r="A262" s="2">
        <v>25</v>
      </c>
      <c r="B262" s="2" t="s">
        <v>13</v>
      </c>
      <c r="C262" s="2" t="s">
        <v>79</v>
      </c>
    </row>
    <row r="263" spans="1:5" x14ac:dyDescent="0.2">
      <c r="A263" s="2">
        <v>25</v>
      </c>
      <c r="B263" s="2" t="s">
        <v>13</v>
      </c>
      <c r="C263" s="2" t="s">
        <v>77</v>
      </c>
    </row>
    <row r="264" spans="1:5" x14ac:dyDescent="0.2">
      <c r="A264" s="2">
        <v>25</v>
      </c>
      <c r="B264" s="2" t="s">
        <v>13</v>
      </c>
      <c r="C264" s="2" t="s">
        <v>76</v>
      </c>
    </row>
    <row r="265" spans="1:5" x14ac:dyDescent="0.2">
      <c r="A265" s="2">
        <v>25</v>
      </c>
      <c r="B265" s="2" t="s">
        <v>13</v>
      </c>
      <c r="C265" s="2" t="s">
        <v>75</v>
      </c>
    </row>
    <row r="266" spans="1:5" x14ac:dyDescent="0.2">
      <c r="A266" s="2">
        <v>25</v>
      </c>
      <c r="B266" s="2" t="s">
        <v>13</v>
      </c>
      <c r="C266" s="2" t="s">
        <v>74</v>
      </c>
    </row>
    <row r="267" spans="1:5" x14ac:dyDescent="0.2">
      <c r="A267" s="2">
        <v>25</v>
      </c>
      <c r="B267" s="2" t="s">
        <v>13</v>
      </c>
      <c r="C267" s="2" t="s">
        <v>73</v>
      </c>
    </row>
    <row r="268" spans="1:5" x14ac:dyDescent="0.2">
      <c r="A268" s="2">
        <v>25</v>
      </c>
      <c r="B268" s="2" t="s">
        <v>13</v>
      </c>
      <c r="C268" s="2" t="s">
        <v>71</v>
      </c>
    </row>
    <row r="269" spans="1:5" x14ac:dyDescent="0.2">
      <c r="A269" s="2">
        <v>25</v>
      </c>
      <c r="B269" s="2" t="s">
        <v>13</v>
      </c>
      <c r="C269" s="2" t="s">
        <v>69</v>
      </c>
    </row>
    <row r="270" spans="1:5" x14ac:dyDescent="0.2">
      <c r="A270" s="2">
        <v>25</v>
      </c>
      <c r="B270" s="2" t="s">
        <v>13</v>
      </c>
      <c r="C270" s="2" t="s">
        <v>68</v>
      </c>
    </row>
    <row r="271" spans="1:5" x14ac:dyDescent="0.2">
      <c r="A271" s="2" t="s">
        <v>22</v>
      </c>
      <c r="B271" s="2" t="s">
        <v>21</v>
      </c>
      <c r="C271" s="2" t="s">
        <v>20</v>
      </c>
      <c r="D271" s="2" t="s">
        <v>19</v>
      </c>
      <c r="E271" s="2" t="s">
        <v>18</v>
      </c>
    </row>
  </sheetData>
  <sortState xmlns:xlrd2="http://schemas.microsoft.com/office/spreadsheetml/2017/richdata2" ref="A2:E271">
    <sortCondition ref="A2"/>
  </sortState>
  <pageMargins left="0.75" right="0.75" top="1" bottom="1" header="0.5" footer="0.5"/>
  <headerFooter alignWithMargins="0">
    <oddHeader>&amp;A</oddHeader>
    <oddFooter>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5EC809-DB46-4C6B-8BB3-BF3E3221B923}">
  <dimension ref="A1:G37"/>
  <sheetViews>
    <sheetView rightToLeft="1" workbookViewId="0"/>
  </sheetViews>
  <sheetFormatPr defaultRowHeight="14.25" x14ac:dyDescent="0.2"/>
  <cols>
    <col min="1" max="1" width="9.75" bestFit="1" customWidth="1"/>
    <col min="2" max="2" width="11.625" bestFit="1" customWidth="1"/>
    <col min="3" max="3" width="12.625" bestFit="1" customWidth="1"/>
    <col min="4" max="4" width="12.375" bestFit="1" customWidth="1"/>
    <col min="5" max="5" width="16.875" bestFit="1" customWidth="1"/>
    <col min="6" max="6" width="13.125" bestFit="1" customWidth="1"/>
    <col min="7" max="7" width="7.875" bestFit="1" customWidth="1"/>
  </cols>
  <sheetData>
    <row r="1" spans="1:7" ht="34.5" thickBot="1" x14ac:dyDescent="0.25">
      <c r="A1" s="5" t="s">
        <v>49</v>
      </c>
      <c r="B1" s="54" t="s">
        <v>6</v>
      </c>
      <c r="C1" s="55"/>
      <c r="D1" s="55"/>
      <c r="E1" s="55"/>
      <c r="F1" s="55"/>
      <c r="G1" s="56"/>
    </row>
    <row r="2" spans="1:7" ht="19.5" thickBot="1" x14ac:dyDescent="0.25">
      <c r="A2" s="5" t="s">
        <v>50</v>
      </c>
      <c r="B2" s="21" t="s">
        <v>51</v>
      </c>
      <c r="C2" s="16" t="s">
        <v>52</v>
      </c>
      <c r="D2" s="16" t="s">
        <v>53</v>
      </c>
      <c r="E2" s="16" t="s">
        <v>54</v>
      </c>
      <c r="F2" s="17" t="s">
        <v>55</v>
      </c>
      <c r="G2" s="51">
        <v>46266</v>
      </c>
    </row>
    <row r="3" spans="1:7" ht="18.75" x14ac:dyDescent="0.2">
      <c r="A3" s="18">
        <v>46266</v>
      </c>
      <c r="B3" s="14">
        <v>46266</v>
      </c>
      <c r="C3" s="12">
        <v>0.29236111111111113</v>
      </c>
      <c r="D3" s="12">
        <v>0.66666666666666663</v>
      </c>
      <c r="E3" s="12">
        <f>(D3)-(C3)</f>
        <v>0.3743055555555555</v>
      </c>
      <c r="F3" s="13">
        <f>HOUR(E3)-1+MINUTE(E3)/60</f>
        <v>7.9833333333333334</v>
      </c>
      <c r="G3" s="52"/>
    </row>
    <row r="4" spans="1:7" ht="18.75" x14ac:dyDescent="0.2">
      <c r="A4" s="19">
        <v>46267</v>
      </c>
      <c r="B4" s="15">
        <v>46267</v>
      </c>
      <c r="C4" s="8">
        <v>0.29444444444444445</v>
      </c>
      <c r="D4" s="8">
        <v>0.66666666666666663</v>
      </c>
      <c r="E4" s="8">
        <f>(D4)-(C4)</f>
        <v>0.37222222222222218</v>
      </c>
      <c r="F4" s="10">
        <f>HOUR(E4)-1+MINUTE(E4)/60</f>
        <v>7.9333333333333336</v>
      </c>
      <c r="G4" s="52"/>
    </row>
    <row r="5" spans="1:7" ht="18.75" x14ac:dyDescent="0.2">
      <c r="A5" s="19">
        <v>46268</v>
      </c>
      <c r="B5" s="15">
        <v>46268</v>
      </c>
      <c r="C5" s="8">
        <v>0.30277777777777776</v>
      </c>
      <c r="D5" s="8">
        <v>0.66666666666666663</v>
      </c>
      <c r="E5" s="8">
        <f>(D5)-(C5)</f>
        <v>0.36388888888888887</v>
      </c>
      <c r="F5" s="10">
        <f>HOUR(E5)-1+MINUTE(E5)/60</f>
        <v>7.7333333333333334</v>
      </c>
      <c r="G5" s="52"/>
    </row>
    <row r="6" spans="1:7" ht="18.75" x14ac:dyDescent="0.2">
      <c r="A6" s="19">
        <v>46269</v>
      </c>
      <c r="B6" s="15">
        <v>46269</v>
      </c>
      <c r="C6" s="42"/>
      <c r="D6" s="43"/>
      <c r="E6" s="43"/>
      <c r="F6" s="44"/>
      <c r="G6" s="52"/>
    </row>
    <row r="7" spans="1:7" ht="18.75" x14ac:dyDescent="0.2">
      <c r="A7" s="19">
        <v>46270</v>
      </c>
      <c r="B7" s="57">
        <v>46270</v>
      </c>
      <c r="C7" s="58"/>
      <c r="D7" s="58"/>
      <c r="E7" s="58"/>
      <c r="F7" s="59"/>
      <c r="G7" s="52"/>
    </row>
    <row r="8" spans="1:7" ht="18.75" x14ac:dyDescent="0.2">
      <c r="A8" s="19">
        <v>46271</v>
      </c>
      <c r="B8" s="15">
        <v>46271</v>
      </c>
      <c r="C8" s="42"/>
      <c r="D8" s="43"/>
      <c r="E8" s="43"/>
      <c r="F8" s="44"/>
      <c r="G8" s="52"/>
    </row>
    <row r="9" spans="1:7" ht="18.75" x14ac:dyDescent="0.2">
      <c r="A9" s="19">
        <v>46272</v>
      </c>
      <c r="B9" s="15">
        <v>46272</v>
      </c>
      <c r="C9" s="8">
        <v>0.30833333333333335</v>
      </c>
      <c r="D9" s="8">
        <v>0.66666666666666663</v>
      </c>
      <c r="E9" s="8">
        <f>(D9)-(C9)</f>
        <v>0.35833333333333328</v>
      </c>
      <c r="F9" s="10">
        <f>HOUR(E9)-1+MINUTE(E9)/60</f>
        <v>7.6</v>
      </c>
      <c r="G9" s="52"/>
    </row>
    <row r="10" spans="1:7" ht="18.75" x14ac:dyDescent="0.2">
      <c r="A10" s="19">
        <v>46273</v>
      </c>
      <c r="B10" s="15">
        <v>46273</v>
      </c>
      <c r="C10" s="8">
        <v>0.3125</v>
      </c>
      <c r="D10" s="8">
        <v>0.66666666666666663</v>
      </c>
      <c r="E10" s="8">
        <f>(D10)-(C10)</f>
        <v>0.35416666666666663</v>
      </c>
      <c r="F10" s="10">
        <f>HOUR(E10)-1+MINUTE(E10)/60</f>
        <v>7.5</v>
      </c>
      <c r="G10" s="52"/>
    </row>
    <row r="11" spans="1:7" ht="18.75" x14ac:dyDescent="0.2">
      <c r="A11" s="19">
        <v>46274</v>
      </c>
      <c r="B11" s="15">
        <v>46274</v>
      </c>
      <c r="C11" s="8">
        <v>0.30972222222222223</v>
      </c>
      <c r="D11" s="8">
        <v>0.66666666666666663</v>
      </c>
      <c r="E11" s="8">
        <f>(D11)-(C11)</f>
        <v>0.3569444444444444</v>
      </c>
      <c r="F11" s="10">
        <f>HOUR(E11)-1+MINUTE(E11)/60</f>
        <v>7.5666666666666664</v>
      </c>
      <c r="G11" s="52"/>
    </row>
    <row r="12" spans="1:7" ht="18.75" x14ac:dyDescent="0.2">
      <c r="A12" s="19">
        <v>46275</v>
      </c>
      <c r="B12" s="15">
        <v>46275</v>
      </c>
      <c r="C12" s="8">
        <v>0.31458333333333333</v>
      </c>
      <c r="D12" s="8">
        <v>0.66666666666666663</v>
      </c>
      <c r="E12" s="8">
        <f>(D12)-(C12)</f>
        <v>0.3520833333333333</v>
      </c>
      <c r="F12" s="10">
        <f>HOUR(E12)-1+MINUTE(E12)/60</f>
        <v>7.45</v>
      </c>
      <c r="G12" s="52"/>
    </row>
    <row r="13" spans="1:7" ht="18.75" x14ac:dyDescent="0.2">
      <c r="A13" s="19">
        <v>46276</v>
      </c>
      <c r="B13" s="15">
        <v>46276</v>
      </c>
      <c r="C13" s="42"/>
      <c r="D13" s="43"/>
      <c r="E13" s="43"/>
      <c r="F13" s="44"/>
      <c r="G13" s="52"/>
    </row>
    <row r="14" spans="1:7" ht="18.75" x14ac:dyDescent="0.2">
      <c r="A14" s="19">
        <v>46277</v>
      </c>
      <c r="B14" s="57">
        <v>46277</v>
      </c>
      <c r="C14" s="58"/>
      <c r="D14" s="58"/>
      <c r="E14" s="58"/>
      <c r="F14" s="59"/>
      <c r="G14" s="52"/>
    </row>
    <row r="15" spans="1:7" ht="18.75" x14ac:dyDescent="0.2">
      <c r="A15" s="19">
        <v>46278</v>
      </c>
      <c r="B15" s="15">
        <v>46278</v>
      </c>
      <c r="C15" s="8">
        <v>0.30972222222222223</v>
      </c>
      <c r="D15" s="8">
        <v>0.66666666666666663</v>
      </c>
      <c r="E15" s="8">
        <f>(D15)-(C15)</f>
        <v>0.3569444444444444</v>
      </c>
      <c r="F15" s="10">
        <f>HOUR(E15)-1+MINUTE(E15)/60</f>
        <v>7.5666666666666664</v>
      </c>
      <c r="G15" s="52"/>
    </row>
    <row r="16" spans="1:7" ht="18.75" x14ac:dyDescent="0.2">
      <c r="A16" s="19">
        <v>46279</v>
      </c>
      <c r="B16" s="15">
        <v>46279</v>
      </c>
      <c r="C16" s="8">
        <v>0.30902777777777779</v>
      </c>
      <c r="D16" s="8">
        <v>0.66666666666666663</v>
      </c>
      <c r="E16" s="8">
        <f>(D16)-(C16)</f>
        <v>0.35763888888888884</v>
      </c>
      <c r="F16" s="10">
        <f>HOUR(E16)-1+MINUTE(E16)/60</f>
        <v>7.583333333333333</v>
      </c>
      <c r="G16" s="52"/>
    </row>
    <row r="17" spans="1:7" ht="18.75" x14ac:dyDescent="0.2">
      <c r="A17" s="19">
        <v>46280</v>
      </c>
      <c r="B17" s="15">
        <v>46280</v>
      </c>
      <c r="C17" s="8">
        <v>0.32361111111111113</v>
      </c>
      <c r="D17" s="8">
        <v>0.66666666666666663</v>
      </c>
      <c r="E17" s="8">
        <f>(D17)-(C17)</f>
        <v>0.3430555555555555</v>
      </c>
      <c r="F17" s="10">
        <f>HOUR(E17)-1+MINUTE(E17)/60</f>
        <v>7.2333333333333334</v>
      </c>
      <c r="G17" s="52"/>
    </row>
    <row r="18" spans="1:7" ht="18.75" x14ac:dyDescent="0.2">
      <c r="A18" s="19">
        <v>46281</v>
      </c>
      <c r="B18" s="15">
        <v>46281</v>
      </c>
      <c r="C18" s="8">
        <v>0.31944444444444448</v>
      </c>
      <c r="D18" s="8">
        <v>0.66666666666666663</v>
      </c>
      <c r="E18" s="8">
        <f>(D18)-(C18)</f>
        <v>0.34722222222222215</v>
      </c>
      <c r="F18" s="10">
        <f>HOUR(E18)-1+MINUTE(E18)/60</f>
        <v>7.333333333333333</v>
      </c>
      <c r="G18" s="52"/>
    </row>
    <row r="19" spans="1:7" ht="18.75" x14ac:dyDescent="0.2">
      <c r="A19" s="19">
        <v>46282</v>
      </c>
      <c r="B19" s="15">
        <v>46282</v>
      </c>
      <c r="C19" s="8">
        <v>0.32291666666666669</v>
      </c>
      <c r="D19" s="8">
        <v>0.66666666666666663</v>
      </c>
      <c r="E19" s="8">
        <f>(D19)-(C19)</f>
        <v>0.34374999999999994</v>
      </c>
      <c r="F19" s="10">
        <f>HOUR(E19)-1+MINUTE(E19)/60</f>
        <v>7.25</v>
      </c>
      <c r="G19" s="52"/>
    </row>
    <row r="20" spans="1:7" ht="18.75" x14ac:dyDescent="0.2">
      <c r="A20" s="19">
        <v>46283</v>
      </c>
      <c r="B20" s="15">
        <v>46283</v>
      </c>
      <c r="C20" s="42"/>
      <c r="D20" s="43"/>
      <c r="E20" s="43"/>
      <c r="F20" s="44"/>
      <c r="G20" s="52"/>
    </row>
    <row r="21" spans="1:7" ht="18.75" x14ac:dyDescent="0.2">
      <c r="A21" s="19">
        <v>46284</v>
      </c>
      <c r="B21" s="57">
        <v>46284</v>
      </c>
      <c r="C21" s="58"/>
      <c r="D21" s="58"/>
      <c r="E21" s="58"/>
      <c r="F21" s="59"/>
      <c r="G21" s="52"/>
    </row>
    <row r="22" spans="1:7" ht="18.75" x14ac:dyDescent="0.2">
      <c r="A22" s="19">
        <v>46285</v>
      </c>
      <c r="B22" s="15">
        <v>46285</v>
      </c>
      <c r="C22" s="8">
        <v>0.32500000000000001</v>
      </c>
      <c r="D22" s="8">
        <v>0.66666666666666663</v>
      </c>
      <c r="E22" s="8">
        <f>(D22)-(C22)</f>
        <v>0.34166666666666662</v>
      </c>
      <c r="F22" s="10">
        <f>HOUR(E22)-1+MINUTE(E22)/60</f>
        <v>7.2</v>
      </c>
      <c r="G22" s="52"/>
    </row>
    <row r="23" spans="1:7" ht="18.75" x14ac:dyDescent="0.2">
      <c r="A23" s="19">
        <v>46286</v>
      </c>
      <c r="B23" s="15">
        <v>46286</v>
      </c>
      <c r="C23" s="42"/>
      <c r="D23" s="43"/>
      <c r="E23" s="43"/>
      <c r="F23" s="44"/>
      <c r="G23" s="52"/>
    </row>
    <row r="24" spans="1:7" ht="18.75" x14ac:dyDescent="0.2">
      <c r="A24" s="19">
        <v>46287</v>
      </c>
      <c r="B24" s="15">
        <v>46287</v>
      </c>
      <c r="C24" s="42"/>
      <c r="D24" s="43"/>
      <c r="E24" s="43"/>
      <c r="F24" s="44"/>
      <c r="G24" s="52"/>
    </row>
    <row r="25" spans="1:7" ht="18.75" x14ac:dyDescent="0.2">
      <c r="A25" s="19">
        <v>46288</v>
      </c>
      <c r="B25" s="15">
        <v>46288</v>
      </c>
      <c r="C25" s="8">
        <v>0.31944444444444448</v>
      </c>
      <c r="D25" s="8">
        <v>0.66666666666666663</v>
      </c>
      <c r="E25" s="8">
        <f>(D25)-(C25)</f>
        <v>0.34722222222222215</v>
      </c>
      <c r="F25" s="10">
        <f>HOUR(E25)-1+MINUTE(E25)/60</f>
        <v>7.333333333333333</v>
      </c>
      <c r="G25" s="52"/>
    </row>
    <row r="26" spans="1:7" ht="18.75" x14ac:dyDescent="0.2">
      <c r="A26" s="19">
        <v>46289</v>
      </c>
      <c r="B26" s="15">
        <v>46289</v>
      </c>
      <c r="C26" s="8">
        <v>0.32361111111111113</v>
      </c>
      <c r="D26" s="8">
        <v>0.66666666666666663</v>
      </c>
      <c r="E26" s="8">
        <f>(D26)-(C26)</f>
        <v>0.3430555555555555</v>
      </c>
      <c r="F26" s="10">
        <f>HOUR(E26)-1+MINUTE(E26)/60</f>
        <v>7.2333333333333334</v>
      </c>
      <c r="G26" s="52"/>
    </row>
    <row r="27" spans="1:7" ht="18.75" x14ac:dyDescent="0.2">
      <c r="A27" s="19">
        <v>46290</v>
      </c>
      <c r="B27" s="15">
        <v>46290</v>
      </c>
      <c r="C27" s="8">
        <v>0.3215277777777778</v>
      </c>
      <c r="D27" s="8">
        <v>0.60416666666666663</v>
      </c>
      <c r="E27" s="8">
        <f>(D27)-(C27)</f>
        <v>0.28263888888888883</v>
      </c>
      <c r="F27" s="10">
        <f>HOUR(E27)-1.5+MINUTE(E27)/60</f>
        <v>5.2833333333333332</v>
      </c>
      <c r="G27" s="52"/>
    </row>
    <row r="28" spans="1:7" ht="18.75" x14ac:dyDescent="0.2">
      <c r="A28" s="19">
        <v>46291</v>
      </c>
      <c r="B28" s="57">
        <v>46291</v>
      </c>
      <c r="C28" s="58"/>
      <c r="D28" s="58"/>
      <c r="E28" s="58"/>
      <c r="F28" s="59"/>
      <c r="G28" s="52"/>
    </row>
    <row r="29" spans="1:7" ht="18.75" x14ac:dyDescent="0.2">
      <c r="A29" s="19">
        <v>46292</v>
      </c>
      <c r="B29" s="15">
        <v>46292</v>
      </c>
      <c r="C29" s="8">
        <v>0.30416666666666664</v>
      </c>
      <c r="D29" s="8">
        <v>0.66666666666666663</v>
      </c>
      <c r="E29" s="8">
        <f>(D29)-(C29)</f>
        <v>0.36249999999999999</v>
      </c>
      <c r="F29" s="10">
        <f>HOUR(E29)-1+MINUTE(E29)/60</f>
        <v>7.7</v>
      </c>
      <c r="G29" s="52"/>
    </row>
    <row r="30" spans="1:7" ht="18.75" x14ac:dyDescent="0.2">
      <c r="A30" s="19">
        <v>46293</v>
      </c>
      <c r="B30" s="15">
        <v>46293</v>
      </c>
      <c r="C30" s="42"/>
      <c r="D30" s="43"/>
      <c r="E30" s="43"/>
      <c r="F30" s="44"/>
      <c r="G30" s="52"/>
    </row>
    <row r="31" spans="1:7" ht="18.75" x14ac:dyDescent="0.2">
      <c r="A31" s="19">
        <v>46294</v>
      </c>
      <c r="B31" s="15">
        <v>46294</v>
      </c>
      <c r="C31" s="45"/>
      <c r="D31" s="46"/>
      <c r="E31" s="46"/>
      <c r="F31" s="47"/>
      <c r="G31" s="52"/>
    </row>
    <row r="32" spans="1:7" ht="19.5" thickBot="1" x14ac:dyDescent="0.25">
      <c r="A32" s="20">
        <v>46295</v>
      </c>
      <c r="B32" s="26">
        <v>46295</v>
      </c>
      <c r="C32" s="48"/>
      <c r="D32" s="49"/>
      <c r="E32" s="49"/>
      <c r="F32" s="50"/>
      <c r="G32" s="53"/>
    </row>
    <row r="33" spans="1:7" ht="19.5" thickBot="1" x14ac:dyDescent="0.25">
      <c r="A33" s="3"/>
      <c r="B33" s="3"/>
      <c r="C33" s="3"/>
      <c r="D33" s="3"/>
      <c r="E33" s="3"/>
      <c r="F33" s="4"/>
      <c r="G33" s="3"/>
    </row>
    <row r="34" spans="1:7" ht="24" thickBot="1" x14ac:dyDescent="0.25">
      <c r="A34" s="3"/>
      <c r="B34" s="3"/>
      <c r="C34" s="3"/>
      <c r="D34" s="3"/>
      <c r="E34" s="6" t="s">
        <v>56</v>
      </c>
      <c r="F34" s="7">
        <f>SUM(F3:F32)</f>
        <v>125.48333333333332</v>
      </c>
      <c r="G34" s="3"/>
    </row>
    <row r="35" spans="1:7" ht="19.5" thickBot="1" x14ac:dyDescent="0.25">
      <c r="A35" s="3"/>
      <c r="B35" s="3"/>
      <c r="C35" s="3"/>
      <c r="D35" s="3"/>
      <c r="E35" s="3"/>
      <c r="F35" s="3"/>
      <c r="G35" s="3"/>
    </row>
    <row r="36" spans="1:7" ht="23.25" x14ac:dyDescent="0.2">
      <c r="A36" s="3"/>
      <c r="B36" s="3"/>
      <c r="C36" s="3"/>
      <c r="D36" s="3"/>
      <c r="E36" s="22" t="s">
        <v>57</v>
      </c>
      <c r="F36" s="23">
        <f>COUNT(F3:F32)</f>
        <v>17</v>
      </c>
      <c r="G36" s="3"/>
    </row>
    <row r="37" spans="1:7" ht="24" thickBot="1" x14ac:dyDescent="0.25">
      <c r="A37" s="3"/>
      <c r="B37" s="3"/>
      <c r="C37" s="3"/>
      <c r="D37" s="3"/>
      <c r="E37" s="24" t="s">
        <v>58</v>
      </c>
      <c r="F37" s="25">
        <f>30-F36-4</f>
        <v>9</v>
      </c>
      <c r="G37" s="3"/>
    </row>
  </sheetData>
  <mergeCells count="15">
    <mergeCell ref="G2:G32"/>
    <mergeCell ref="B1:G1"/>
    <mergeCell ref="B7:F7"/>
    <mergeCell ref="B14:F14"/>
    <mergeCell ref="B21:F21"/>
    <mergeCell ref="B28:F28"/>
    <mergeCell ref="C6:F6"/>
    <mergeCell ref="C8:F8"/>
    <mergeCell ref="C13:F13"/>
    <mergeCell ref="C20:F20"/>
    <mergeCell ref="C23:F23"/>
    <mergeCell ref="C24:F24"/>
    <mergeCell ref="C30:F30"/>
    <mergeCell ref="C31:F31"/>
    <mergeCell ref="C32:F3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5CEB1-0FAF-4687-BA58-16B2F53E1783}">
  <dimension ref="A1:G37"/>
  <sheetViews>
    <sheetView rightToLeft="1" workbookViewId="0"/>
  </sheetViews>
  <sheetFormatPr defaultRowHeight="14.25" x14ac:dyDescent="0.2"/>
  <cols>
    <col min="1" max="1" width="9.75" bestFit="1" customWidth="1"/>
    <col min="2" max="2" width="11.625" bestFit="1" customWidth="1"/>
    <col min="3" max="3" width="12.625" bestFit="1" customWidth="1"/>
    <col min="4" max="4" width="12.375" bestFit="1" customWidth="1"/>
    <col min="5" max="5" width="16.875" bestFit="1" customWidth="1"/>
    <col min="6" max="6" width="13.125" bestFit="1" customWidth="1"/>
    <col min="7" max="7" width="7.875" bestFit="1" customWidth="1"/>
  </cols>
  <sheetData>
    <row r="1" spans="1:7" ht="34.5" thickBot="1" x14ac:dyDescent="0.25">
      <c r="A1" s="5" t="s">
        <v>49</v>
      </c>
      <c r="B1" s="54" t="s">
        <v>1</v>
      </c>
      <c r="C1" s="55"/>
      <c r="D1" s="55"/>
      <c r="E1" s="55"/>
      <c r="F1" s="55"/>
      <c r="G1" s="56"/>
    </row>
    <row r="2" spans="1:7" ht="19.5" thickBot="1" x14ac:dyDescent="0.25">
      <c r="A2" s="5" t="s">
        <v>50</v>
      </c>
      <c r="B2" s="21" t="s">
        <v>51</v>
      </c>
      <c r="C2" s="16" t="s">
        <v>52</v>
      </c>
      <c r="D2" s="16" t="s">
        <v>53</v>
      </c>
      <c r="E2" s="16" t="s">
        <v>54</v>
      </c>
      <c r="F2" s="17" t="s">
        <v>55</v>
      </c>
      <c r="G2" s="51">
        <v>46266</v>
      </c>
    </row>
    <row r="3" spans="1:7" ht="18.75" x14ac:dyDescent="0.2">
      <c r="A3" s="18">
        <v>46266</v>
      </c>
      <c r="B3" s="14">
        <v>46266</v>
      </c>
      <c r="C3" s="12">
        <v>0.31319444444444444</v>
      </c>
      <c r="D3" s="12">
        <v>0.66666666666666663</v>
      </c>
      <c r="E3" s="12">
        <f>(D3)-(C3)</f>
        <v>0.35347222222222219</v>
      </c>
      <c r="F3" s="13">
        <f>HOUR(E3)-1+MINUTE(E3)/60</f>
        <v>7.4833333333333334</v>
      </c>
      <c r="G3" s="52"/>
    </row>
    <row r="4" spans="1:7" ht="18.75" x14ac:dyDescent="0.2">
      <c r="A4" s="19">
        <v>46267</v>
      </c>
      <c r="B4" s="15">
        <v>46267</v>
      </c>
      <c r="C4" s="8">
        <v>0.33194444444444443</v>
      </c>
      <c r="D4" s="8">
        <v>0.66666666666666663</v>
      </c>
      <c r="E4" s="8">
        <f>(D4)-(C4)</f>
        <v>0.3347222222222222</v>
      </c>
      <c r="F4" s="10">
        <f>HOUR(E4)-1+MINUTE(E4)/60</f>
        <v>7.0333333333333332</v>
      </c>
      <c r="G4" s="52"/>
    </row>
    <row r="5" spans="1:7" ht="18.75" x14ac:dyDescent="0.2">
      <c r="A5" s="19">
        <v>46268</v>
      </c>
      <c r="B5" s="15">
        <v>46268</v>
      </c>
      <c r="C5" s="42"/>
      <c r="D5" s="43"/>
      <c r="E5" s="43"/>
      <c r="F5" s="44"/>
      <c r="G5" s="52"/>
    </row>
    <row r="6" spans="1:7" ht="18.75" x14ac:dyDescent="0.2">
      <c r="A6" s="19">
        <v>46269</v>
      </c>
      <c r="B6" s="15">
        <v>46269</v>
      </c>
      <c r="C6" s="8">
        <v>0.33958333333333335</v>
      </c>
      <c r="D6" s="8">
        <v>0.60416666666666663</v>
      </c>
      <c r="E6" s="8">
        <f>(D6)-(C6)</f>
        <v>0.26458333333333328</v>
      </c>
      <c r="F6" s="10">
        <f>HOUR(E6)-1.5+MINUTE(E6)/60</f>
        <v>4.8499999999999996</v>
      </c>
      <c r="G6" s="52"/>
    </row>
    <row r="7" spans="1:7" ht="18.75" x14ac:dyDescent="0.2">
      <c r="A7" s="19">
        <v>46270</v>
      </c>
      <c r="B7" s="57">
        <v>46270</v>
      </c>
      <c r="C7" s="58"/>
      <c r="D7" s="58"/>
      <c r="E7" s="58"/>
      <c r="F7" s="59"/>
      <c r="G7" s="52"/>
    </row>
    <row r="8" spans="1:7" ht="18.75" x14ac:dyDescent="0.2">
      <c r="A8" s="19">
        <v>46271</v>
      </c>
      <c r="B8" s="15">
        <v>46271</v>
      </c>
      <c r="C8" s="8">
        <v>0.34097222222222223</v>
      </c>
      <c r="D8" s="8">
        <v>0.66666666666666663</v>
      </c>
      <c r="E8" s="8">
        <f>(D8)-(C8)</f>
        <v>0.3256944444444444</v>
      </c>
      <c r="F8" s="10">
        <f>HOUR(E8)-1+MINUTE(E8)/60</f>
        <v>6.8166666666666664</v>
      </c>
      <c r="G8" s="52"/>
    </row>
    <row r="9" spans="1:7" ht="18.75" x14ac:dyDescent="0.2">
      <c r="A9" s="19">
        <v>46272</v>
      </c>
      <c r="B9" s="15">
        <v>46272</v>
      </c>
      <c r="C9" s="8">
        <v>0.33194444444444443</v>
      </c>
      <c r="D9" s="8">
        <v>0.66666666666666663</v>
      </c>
      <c r="E9" s="8">
        <f>(D9)-(C9)</f>
        <v>0.3347222222222222</v>
      </c>
      <c r="F9" s="10">
        <f>HOUR(E9)-1+MINUTE(E9)/60</f>
        <v>7.0333333333333332</v>
      </c>
      <c r="G9" s="52"/>
    </row>
    <row r="10" spans="1:7" ht="18.75" x14ac:dyDescent="0.2">
      <c r="A10" s="19">
        <v>46273</v>
      </c>
      <c r="B10" s="15">
        <v>46273</v>
      </c>
      <c r="C10" s="8">
        <v>0.32916666666666666</v>
      </c>
      <c r="D10" s="8">
        <v>0.66666666666666663</v>
      </c>
      <c r="E10" s="8">
        <f>(D10)-(C10)</f>
        <v>0.33749999999999997</v>
      </c>
      <c r="F10" s="10">
        <f>HOUR(E10)-1+MINUTE(E10)/60</f>
        <v>7.1</v>
      </c>
      <c r="G10" s="52"/>
    </row>
    <row r="11" spans="1:7" ht="18.75" x14ac:dyDescent="0.2">
      <c r="A11" s="19">
        <v>46274</v>
      </c>
      <c r="B11" s="15">
        <v>46274</v>
      </c>
      <c r="C11" s="8">
        <v>0.33194444444444443</v>
      </c>
      <c r="D11" s="8">
        <v>0.66666666666666663</v>
      </c>
      <c r="E11" s="8">
        <f>(D11)-(C11)</f>
        <v>0.3347222222222222</v>
      </c>
      <c r="F11" s="10">
        <f>HOUR(E11)-1+MINUTE(E11)/60</f>
        <v>7.0333333333333332</v>
      </c>
      <c r="G11" s="52"/>
    </row>
    <row r="12" spans="1:7" ht="18.75" x14ac:dyDescent="0.2">
      <c r="A12" s="19">
        <v>46275</v>
      </c>
      <c r="B12" s="15">
        <v>46275</v>
      </c>
      <c r="C12" s="8">
        <v>0.3347222222222222</v>
      </c>
      <c r="D12" s="8">
        <v>0.54166666666666663</v>
      </c>
      <c r="E12" s="8">
        <f>(D12)-(C12)</f>
        <v>0.20694444444444443</v>
      </c>
      <c r="F12" s="10">
        <f>HOUR(E12)-1+MINUTE(E12)/60</f>
        <v>3.9666666666666668</v>
      </c>
      <c r="G12" s="52"/>
    </row>
    <row r="13" spans="1:7" ht="18.75" x14ac:dyDescent="0.2">
      <c r="A13" s="19">
        <v>46276</v>
      </c>
      <c r="B13" s="15">
        <v>46276</v>
      </c>
      <c r="C13" s="42"/>
      <c r="D13" s="43"/>
      <c r="E13" s="43"/>
      <c r="F13" s="44"/>
      <c r="G13" s="52"/>
    </row>
    <row r="14" spans="1:7" ht="18.75" x14ac:dyDescent="0.2">
      <c r="A14" s="19">
        <v>46277</v>
      </c>
      <c r="B14" s="57">
        <v>46277</v>
      </c>
      <c r="C14" s="58"/>
      <c r="D14" s="58"/>
      <c r="E14" s="58"/>
      <c r="F14" s="59"/>
      <c r="G14" s="52"/>
    </row>
    <row r="15" spans="1:7" ht="18.75" x14ac:dyDescent="0.2">
      <c r="A15" s="19">
        <v>46278</v>
      </c>
      <c r="B15" s="15">
        <v>46278</v>
      </c>
      <c r="C15" s="8">
        <v>0.33749999999999997</v>
      </c>
      <c r="D15" s="8">
        <v>0.66666666666666663</v>
      </c>
      <c r="E15" s="8">
        <f t="shared" ref="E15:E20" si="0">(D15)-(C15)</f>
        <v>0.32916666666666666</v>
      </c>
      <c r="F15" s="10">
        <f>HOUR(E15)-1+MINUTE(E15)/60</f>
        <v>6.9</v>
      </c>
      <c r="G15" s="52"/>
    </row>
    <row r="16" spans="1:7" ht="18.75" x14ac:dyDescent="0.2">
      <c r="A16" s="19">
        <v>46279</v>
      </c>
      <c r="B16" s="15">
        <v>46279</v>
      </c>
      <c r="C16" s="8">
        <v>0.33194444444444443</v>
      </c>
      <c r="D16" s="8">
        <v>0.66666666666666663</v>
      </c>
      <c r="E16" s="8">
        <f t="shared" si="0"/>
        <v>0.3347222222222222</v>
      </c>
      <c r="F16" s="10">
        <f>HOUR(E16)-1+MINUTE(E16)/60</f>
        <v>7.0333333333333332</v>
      </c>
      <c r="G16" s="52"/>
    </row>
    <row r="17" spans="1:7" ht="18.75" x14ac:dyDescent="0.2">
      <c r="A17" s="19">
        <v>46280</v>
      </c>
      <c r="B17" s="15">
        <v>46280</v>
      </c>
      <c r="C17" s="8">
        <v>0.3347222222222222</v>
      </c>
      <c r="D17" s="8">
        <v>0.66666666666666663</v>
      </c>
      <c r="E17" s="8">
        <f t="shared" si="0"/>
        <v>0.33194444444444443</v>
      </c>
      <c r="F17" s="10">
        <f>HOUR(E17)-1+MINUTE(E17)/60</f>
        <v>6.9666666666666668</v>
      </c>
      <c r="G17" s="52"/>
    </row>
    <row r="18" spans="1:7" ht="18.75" x14ac:dyDescent="0.2">
      <c r="A18" s="19">
        <v>46281</v>
      </c>
      <c r="B18" s="15">
        <v>46281</v>
      </c>
      <c r="C18" s="8">
        <v>0.34097222222222223</v>
      </c>
      <c r="D18" s="8">
        <v>0.66666666666666663</v>
      </c>
      <c r="E18" s="8">
        <f t="shared" si="0"/>
        <v>0.3256944444444444</v>
      </c>
      <c r="F18" s="10">
        <f>HOUR(E18)-1+MINUTE(E18)/60</f>
        <v>6.8166666666666664</v>
      </c>
      <c r="G18" s="52"/>
    </row>
    <row r="19" spans="1:7" ht="18.75" x14ac:dyDescent="0.2">
      <c r="A19" s="19">
        <v>46282</v>
      </c>
      <c r="B19" s="15">
        <v>46282</v>
      </c>
      <c r="C19" s="8">
        <v>0.33263888888888887</v>
      </c>
      <c r="D19" s="8">
        <v>0.66666666666666663</v>
      </c>
      <c r="E19" s="8">
        <f t="shared" si="0"/>
        <v>0.33402777777777776</v>
      </c>
      <c r="F19" s="10">
        <f>HOUR(E19)-1+MINUTE(E19)/60</f>
        <v>7.0166666666666666</v>
      </c>
      <c r="G19" s="52"/>
    </row>
    <row r="20" spans="1:7" ht="18.75" x14ac:dyDescent="0.2">
      <c r="A20" s="19">
        <v>46283</v>
      </c>
      <c r="B20" s="15">
        <v>46283</v>
      </c>
      <c r="C20" s="8">
        <v>0.33958333333333335</v>
      </c>
      <c r="D20" s="8">
        <v>0.60416666666666663</v>
      </c>
      <c r="E20" s="8">
        <f t="shared" si="0"/>
        <v>0.26458333333333328</v>
      </c>
      <c r="F20" s="10">
        <f>HOUR(E20)-1.5+MINUTE(E20)/60</f>
        <v>4.8499999999999996</v>
      </c>
      <c r="G20" s="52"/>
    </row>
    <row r="21" spans="1:7" ht="18.75" x14ac:dyDescent="0.2">
      <c r="A21" s="19">
        <v>46284</v>
      </c>
      <c r="B21" s="57">
        <v>46284</v>
      </c>
      <c r="C21" s="58"/>
      <c r="D21" s="58"/>
      <c r="E21" s="58"/>
      <c r="F21" s="59"/>
      <c r="G21" s="52"/>
    </row>
    <row r="22" spans="1:7" ht="18.75" x14ac:dyDescent="0.2">
      <c r="A22" s="19">
        <v>46285</v>
      </c>
      <c r="B22" s="15">
        <v>46285</v>
      </c>
      <c r="C22" s="8">
        <v>0.33333333333333331</v>
      </c>
      <c r="D22" s="8">
        <v>0.70138888888888884</v>
      </c>
      <c r="E22" s="8">
        <f>(D22)-(C22)</f>
        <v>0.36805555555555552</v>
      </c>
      <c r="F22" s="10">
        <f>HOUR(E22)-1+MINUTE(E22)/60</f>
        <v>7.833333333333333</v>
      </c>
      <c r="G22" s="52"/>
    </row>
    <row r="23" spans="1:7" ht="18.75" x14ac:dyDescent="0.2">
      <c r="A23" s="19">
        <v>46286</v>
      </c>
      <c r="B23" s="15">
        <v>46286</v>
      </c>
      <c r="C23" s="8">
        <v>0.3354166666666667</v>
      </c>
      <c r="D23" s="8">
        <v>0.66666666666666663</v>
      </c>
      <c r="E23" s="8">
        <f>(D23)-(C23)</f>
        <v>0.33124999999999993</v>
      </c>
      <c r="F23" s="10">
        <f>HOUR(E23)-1+MINUTE(E23)/60</f>
        <v>6.95</v>
      </c>
      <c r="G23" s="52"/>
    </row>
    <row r="24" spans="1:7" ht="18.75" x14ac:dyDescent="0.2">
      <c r="A24" s="19">
        <v>46287</v>
      </c>
      <c r="B24" s="15">
        <v>46287</v>
      </c>
      <c r="C24" s="8">
        <v>0.34861111111111115</v>
      </c>
      <c r="D24" s="8">
        <v>0.66666666666666663</v>
      </c>
      <c r="E24" s="8">
        <f>(D24)-(C24)</f>
        <v>0.31805555555555548</v>
      </c>
      <c r="F24" s="10">
        <f>HOUR(E24)-1+MINUTE(E24)/60</f>
        <v>6.6333333333333329</v>
      </c>
      <c r="G24" s="52"/>
    </row>
    <row r="25" spans="1:7" ht="18.75" x14ac:dyDescent="0.2">
      <c r="A25" s="19">
        <v>46288</v>
      </c>
      <c r="B25" s="15">
        <v>46288</v>
      </c>
      <c r="C25" s="42"/>
      <c r="D25" s="43"/>
      <c r="E25" s="43"/>
      <c r="F25" s="44"/>
      <c r="G25" s="52"/>
    </row>
    <row r="26" spans="1:7" ht="18.75" x14ac:dyDescent="0.2">
      <c r="A26" s="19">
        <v>46289</v>
      </c>
      <c r="B26" s="15">
        <v>46289</v>
      </c>
      <c r="C26" s="42"/>
      <c r="D26" s="43"/>
      <c r="E26" s="43"/>
      <c r="F26" s="44"/>
      <c r="G26" s="52"/>
    </row>
    <row r="27" spans="1:7" ht="18.75" x14ac:dyDescent="0.2">
      <c r="A27" s="19">
        <v>46290</v>
      </c>
      <c r="B27" s="15">
        <v>46290</v>
      </c>
      <c r="C27" s="8">
        <v>0.33958333333333335</v>
      </c>
      <c r="D27" s="8">
        <v>0.60416666666666663</v>
      </c>
      <c r="E27" s="8">
        <f>(D27)-(C27)</f>
        <v>0.26458333333333328</v>
      </c>
      <c r="F27" s="10">
        <f>HOUR(E27)-1.5+MINUTE(E27)/60</f>
        <v>4.8499999999999996</v>
      </c>
      <c r="G27" s="52"/>
    </row>
    <row r="28" spans="1:7" ht="18.75" x14ac:dyDescent="0.2">
      <c r="A28" s="19">
        <v>46291</v>
      </c>
      <c r="B28" s="57">
        <v>46291</v>
      </c>
      <c r="C28" s="58"/>
      <c r="D28" s="58"/>
      <c r="E28" s="58"/>
      <c r="F28" s="59"/>
      <c r="G28" s="52"/>
    </row>
    <row r="29" spans="1:7" ht="18.75" x14ac:dyDescent="0.2">
      <c r="A29" s="19">
        <v>46292</v>
      </c>
      <c r="B29" s="15">
        <v>46292</v>
      </c>
      <c r="C29" s="8">
        <v>0.34166666666666662</v>
      </c>
      <c r="D29" s="8">
        <v>0.66666666666666663</v>
      </c>
      <c r="E29" s="8">
        <f>(D29)-(C29)</f>
        <v>0.32500000000000001</v>
      </c>
      <c r="F29" s="10">
        <f>HOUR(E29)-1+MINUTE(E29)/60</f>
        <v>6.8</v>
      </c>
      <c r="G29" s="52"/>
    </row>
    <row r="30" spans="1:7" ht="18.75" x14ac:dyDescent="0.2">
      <c r="A30" s="19">
        <v>46293</v>
      </c>
      <c r="B30" s="15">
        <v>46293</v>
      </c>
      <c r="C30" s="8">
        <v>0.23750000000000002</v>
      </c>
      <c r="D30" s="8">
        <v>0.66666666666666663</v>
      </c>
      <c r="E30" s="8">
        <f>(D30)-(C30)</f>
        <v>0.42916666666666659</v>
      </c>
      <c r="F30" s="10">
        <f>HOUR(E30)-1+MINUTE(E30)/60</f>
        <v>9.3000000000000007</v>
      </c>
      <c r="G30" s="52"/>
    </row>
    <row r="31" spans="1:7" ht="18.75" x14ac:dyDescent="0.2">
      <c r="A31" s="19">
        <v>46294</v>
      </c>
      <c r="B31" s="15">
        <v>46294</v>
      </c>
      <c r="C31" s="28">
        <v>0.34652777777777777</v>
      </c>
      <c r="D31" s="8">
        <v>0.66666666666666663</v>
      </c>
      <c r="E31" s="8">
        <f>(D31)-(C31)</f>
        <v>0.32013888888888886</v>
      </c>
      <c r="F31" s="10">
        <f>HOUR(E31)-1+MINUTE(E31)/60</f>
        <v>6.6833333333333336</v>
      </c>
      <c r="G31" s="52"/>
    </row>
    <row r="32" spans="1:7" ht="19.5" thickBot="1" x14ac:dyDescent="0.25">
      <c r="A32" s="20">
        <v>46295</v>
      </c>
      <c r="B32" s="26">
        <v>46295</v>
      </c>
      <c r="C32" s="9">
        <v>0.33263888888888887</v>
      </c>
      <c r="D32" s="27">
        <v>0.66666666666666663</v>
      </c>
      <c r="E32" s="9">
        <f>(D32)-(C32)</f>
        <v>0.33402777777777776</v>
      </c>
      <c r="F32" s="11">
        <f>HOUR(E32)-1+MINUTE(E32)/60</f>
        <v>7.0166666666666666</v>
      </c>
      <c r="G32" s="60"/>
    </row>
    <row r="33" spans="1:7" ht="19.5" thickBot="1" x14ac:dyDescent="0.25">
      <c r="A33" s="3"/>
      <c r="B33" s="3"/>
      <c r="C33" s="3"/>
      <c r="D33" s="3"/>
      <c r="E33" s="3"/>
      <c r="F33" s="4"/>
      <c r="G33" s="3"/>
    </row>
    <row r="34" spans="1:7" ht="24" thickBot="1" x14ac:dyDescent="0.25">
      <c r="A34" s="3"/>
      <c r="B34" s="3"/>
      <c r="C34" s="3"/>
      <c r="D34" s="3"/>
      <c r="E34" s="6" t="s">
        <v>56</v>
      </c>
      <c r="F34" s="7">
        <f>SUM(F3:F32)</f>
        <v>146.96666666666667</v>
      </c>
      <c r="G34" s="3"/>
    </row>
    <row r="35" spans="1:7" ht="19.5" thickBot="1" x14ac:dyDescent="0.25">
      <c r="A35" s="3"/>
      <c r="B35" s="3"/>
      <c r="C35" s="3"/>
      <c r="D35" s="3"/>
      <c r="E35" s="3"/>
      <c r="F35" s="3"/>
      <c r="G35" s="3"/>
    </row>
    <row r="36" spans="1:7" ht="23.25" x14ac:dyDescent="0.2">
      <c r="A36" s="3"/>
      <c r="B36" s="3"/>
      <c r="C36" s="3"/>
      <c r="D36" s="3"/>
      <c r="E36" s="22" t="s">
        <v>57</v>
      </c>
      <c r="F36" s="23">
        <f>COUNT(F3:F32)</f>
        <v>22</v>
      </c>
      <c r="G36" s="3"/>
    </row>
    <row r="37" spans="1:7" ht="24" thickBot="1" x14ac:dyDescent="0.25">
      <c r="A37" s="3"/>
      <c r="B37" s="3"/>
      <c r="C37" s="3"/>
      <c r="D37" s="3"/>
      <c r="E37" s="24" t="s">
        <v>58</v>
      </c>
      <c r="F37" s="25">
        <f>30-F36-4</f>
        <v>4</v>
      </c>
      <c r="G37" s="3"/>
    </row>
  </sheetData>
  <mergeCells count="10">
    <mergeCell ref="B1:G1"/>
    <mergeCell ref="G2:G32"/>
    <mergeCell ref="B7:F7"/>
    <mergeCell ref="B14:F14"/>
    <mergeCell ref="B21:F21"/>
    <mergeCell ref="B28:F28"/>
    <mergeCell ref="C5:F5"/>
    <mergeCell ref="C13:F13"/>
    <mergeCell ref="C25:F25"/>
    <mergeCell ref="C26:F2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95DA2-3F5C-4FB8-B117-D90ACB1C60F4}">
  <dimension ref="A1:G37"/>
  <sheetViews>
    <sheetView rightToLeft="1" workbookViewId="0"/>
  </sheetViews>
  <sheetFormatPr defaultRowHeight="14.25" x14ac:dyDescent="0.2"/>
  <cols>
    <col min="1" max="1" width="9.75" bestFit="1" customWidth="1"/>
    <col min="2" max="2" width="11.625" bestFit="1" customWidth="1"/>
    <col min="3" max="3" width="12.625" bestFit="1" customWidth="1"/>
    <col min="4" max="4" width="12.375" bestFit="1" customWidth="1"/>
    <col min="5" max="5" width="16.875" bestFit="1" customWidth="1"/>
    <col min="6" max="6" width="13.125" bestFit="1" customWidth="1"/>
    <col min="7" max="7" width="7.875" bestFit="1" customWidth="1"/>
  </cols>
  <sheetData>
    <row r="1" spans="1:7" ht="34.5" thickBot="1" x14ac:dyDescent="0.25">
      <c r="A1" s="5" t="s">
        <v>49</v>
      </c>
      <c r="B1" s="54" t="s">
        <v>11</v>
      </c>
      <c r="C1" s="55"/>
      <c r="D1" s="55"/>
      <c r="E1" s="55"/>
      <c r="F1" s="55"/>
      <c r="G1" s="56"/>
    </row>
    <row r="2" spans="1:7" ht="19.5" thickBot="1" x14ac:dyDescent="0.25">
      <c r="A2" s="5" t="s">
        <v>50</v>
      </c>
      <c r="B2" s="21" t="s">
        <v>51</v>
      </c>
      <c r="C2" s="16" t="s">
        <v>52</v>
      </c>
      <c r="D2" s="16" t="s">
        <v>53</v>
      </c>
      <c r="E2" s="16" t="s">
        <v>54</v>
      </c>
      <c r="F2" s="17" t="s">
        <v>55</v>
      </c>
      <c r="G2" s="51">
        <v>46266</v>
      </c>
    </row>
    <row r="3" spans="1:7" ht="18.75" x14ac:dyDescent="0.2">
      <c r="A3" s="18">
        <v>46266</v>
      </c>
      <c r="B3" s="14">
        <v>46266</v>
      </c>
      <c r="C3" s="12">
        <v>0.3125</v>
      </c>
      <c r="D3" s="12">
        <v>0.66666666666666663</v>
      </c>
      <c r="E3" s="12">
        <f>(D3)-(C3)</f>
        <v>0.35416666666666663</v>
      </c>
      <c r="F3" s="13">
        <f>HOUR(E3)-1+MINUTE(E3)/60</f>
        <v>7.5</v>
      </c>
      <c r="G3" s="52"/>
    </row>
    <row r="4" spans="1:7" ht="18.75" x14ac:dyDescent="0.2">
      <c r="A4" s="19">
        <v>46267</v>
      </c>
      <c r="B4" s="15">
        <v>46267</v>
      </c>
      <c r="C4" s="8">
        <v>0.32777777777777778</v>
      </c>
      <c r="D4" s="8">
        <v>0.66666666666666663</v>
      </c>
      <c r="E4" s="8">
        <f>(D4)-(C4)</f>
        <v>0.33888888888888885</v>
      </c>
      <c r="F4" s="10">
        <f>HOUR(E4)-1+MINUTE(E4)/60</f>
        <v>7.1333333333333337</v>
      </c>
      <c r="G4" s="52"/>
    </row>
    <row r="5" spans="1:7" ht="18.75" x14ac:dyDescent="0.2">
      <c r="A5" s="19">
        <v>46268</v>
      </c>
      <c r="B5" s="15">
        <v>46268</v>
      </c>
      <c r="C5" s="8">
        <v>0.33263888888888887</v>
      </c>
      <c r="D5" s="8">
        <v>0.66666666666666663</v>
      </c>
      <c r="E5" s="8">
        <f>(D5)-(C5)</f>
        <v>0.33402777777777776</v>
      </c>
      <c r="F5" s="10">
        <f>HOUR(E5)-1+MINUTE(E5)/60</f>
        <v>7.0166666666666666</v>
      </c>
      <c r="G5" s="52"/>
    </row>
    <row r="6" spans="1:7" ht="18.75" x14ac:dyDescent="0.2">
      <c r="A6" s="19">
        <v>46269</v>
      </c>
      <c r="B6" s="15">
        <v>46269</v>
      </c>
      <c r="C6" s="8">
        <v>0.33888888888888885</v>
      </c>
      <c r="D6" s="8">
        <v>0.60416666666666663</v>
      </c>
      <c r="E6" s="8">
        <f>(D6)-(C6)</f>
        <v>0.26527777777777778</v>
      </c>
      <c r="F6" s="10">
        <f>HOUR(E6)-1.5+MINUTE(E6)/60</f>
        <v>4.8666666666666663</v>
      </c>
      <c r="G6" s="52"/>
    </row>
    <row r="7" spans="1:7" ht="18.75" x14ac:dyDescent="0.2">
      <c r="A7" s="19">
        <v>46270</v>
      </c>
      <c r="B7" s="57">
        <v>46270</v>
      </c>
      <c r="C7" s="58"/>
      <c r="D7" s="58"/>
      <c r="E7" s="58"/>
      <c r="F7" s="59"/>
      <c r="G7" s="52"/>
    </row>
    <row r="8" spans="1:7" ht="18.75" x14ac:dyDescent="0.2">
      <c r="A8" s="19">
        <v>46271</v>
      </c>
      <c r="B8" s="15">
        <v>46271</v>
      </c>
      <c r="C8" s="8">
        <v>0.34027777777777773</v>
      </c>
      <c r="D8" s="8">
        <v>0.66666666666666663</v>
      </c>
      <c r="E8" s="8">
        <f t="shared" ref="E8:E13" si="0">(D8)-(C8)</f>
        <v>0.3263888888888889</v>
      </c>
      <c r="F8" s="10">
        <f>HOUR(E8)-1+MINUTE(E8)/60</f>
        <v>6.833333333333333</v>
      </c>
      <c r="G8" s="52"/>
    </row>
    <row r="9" spans="1:7" ht="18.75" x14ac:dyDescent="0.2">
      <c r="A9" s="19">
        <v>46272</v>
      </c>
      <c r="B9" s="15">
        <v>46272</v>
      </c>
      <c r="C9" s="8">
        <v>0.33194444444444443</v>
      </c>
      <c r="D9" s="8">
        <v>0.66666666666666663</v>
      </c>
      <c r="E9" s="8">
        <f t="shared" si="0"/>
        <v>0.3347222222222222</v>
      </c>
      <c r="F9" s="10">
        <f>HOUR(E9)-1+MINUTE(E9)/60</f>
        <v>7.0333333333333332</v>
      </c>
      <c r="G9" s="52"/>
    </row>
    <row r="10" spans="1:7" ht="18.75" x14ac:dyDescent="0.2">
      <c r="A10" s="19">
        <v>46273</v>
      </c>
      <c r="B10" s="15">
        <v>46273</v>
      </c>
      <c r="C10" s="8">
        <v>0.32847222222222222</v>
      </c>
      <c r="D10" s="8">
        <v>0.66666666666666663</v>
      </c>
      <c r="E10" s="8">
        <f t="shared" si="0"/>
        <v>0.33819444444444441</v>
      </c>
      <c r="F10" s="10">
        <f>HOUR(E10)-1+MINUTE(E10)/60</f>
        <v>7.1166666666666663</v>
      </c>
      <c r="G10" s="52"/>
    </row>
    <row r="11" spans="1:7" ht="18.75" x14ac:dyDescent="0.2">
      <c r="A11" s="19">
        <v>46274</v>
      </c>
      <c r="B11" s="15">
        <v>46274</v>
      </c>
      <c r="C11" s="8">
        <v>0.33124999999999999</v>
      </c>
      <c r="D11" s="8">
        <v>0.66666666666666663</v>
      </c>
      <c r="E11" s="8">
        <f t="shared" si="0"/>
        <v>0.33541666666666664</v>
      </c>
      <c r="F11" s="10">
        <f>HOUR(E11)-1+MINUTE(E11)/60</f>
        <v>7.05</v>
      </c>
      <c r="G11" s="52"/>
    </row>
    <row r="12" spans="1:7" ht="18.75" x14ac:dyDescent="0.2">
      <c r="A12" s="19">
        <v>46275</v>
      </c>
      <c r="B12" s="15">
        <v>46275</v>
      </c>
      <c r="C12" s="8">
        <v>0.3347222222222222</v>
      </c>
      <c r="D12" s="8">
        <v>0.66666666666666663</v>
      </c>
      <c r="E12" s="8">
        <f t="shared" si="0"/>
        <v>0.33194444444444443</v>
      </c>
      <c r="F12" s="10">
        <f>HOUR(E12)-1+MINUTE(E12)/60</f>
        <v>6.9666666666666668</v>
      </c>
      <c r="G12" s="52"/>
    </row>
    <row r="13" spans="1:7" ht="18.75" x14ac:dyDescent="0.2">
      <c r="A13" s="19">
        <v>46276</v>
      </c>
      <c r="B13" s="15">
        <v>46276</v>
      </c>
      <c r="C13" s="8">
        <v>0.3354166666666667</v>
      </c>
      <c r="D13" s="8">
        <v>0.60416666666666663</v>
      </c>
      <c r="E13" s="8">
        <f t="shared" si="0"/>
        <v>0.26874999999999993</v>
      </c>
      <c r="F13" s="10">
        <f>HOUR(E13)-1.5+MINUTE(E13)/60</f>
        <v>4.95</v>
      </c>
      <c r="G13" s="52"/>
    </row>
    <row r="14" spans="1:7" ht="18.75" x14ac:dyDescent="0.2">
      <c r="A14" s="19">
        <v>46277</v>
      </c>
      <c r="B14" s="57">
        <v>46277</v>
      </c>
      <c r="C14" s="58"/>
      <c r="D14" s="58"/>
      <c r="E14" s="58"/>
      <c r="F14" s="59"/>
      <c r="G14" s="52"/>
    </row>
    <row r="15" spans="1:7" ht="18.75" x14ac:dyDescent="0.2">
      <c r="A15" s="19">
        <v>46278</v>
      </c>
      <c r="B15" s="15">
        <v>46278</v>
      </c>
      <c r="C15" s="8">
        <v>0.33680555555555558</v>
      </c>
      <c r="D15" s="8">
        <v>0.66666666666666663</v>
      </c>
      <c r="E15" s="8">
        <f t="shared" ref="E15:E20" si="1">(D15)-(C15)</f>
        <v>0.32986111111111105</v>
      </c>
      <c r="F15" s="10">
        <f>HOUR(E15)-1+MINUTE(E15)/60</f>
        <v>6.916666666666667</v>
      </c>
      <c r="G15" s="52"/>
    </row>
    <row r="16" spans="1:7" ht="18.75" x14ac:dyDescent="0.2">
      <c r="A16" s="19">
        <v>46279</v>
      </c>
      <c r="B16" s="15">
        <v>46279</v>
      </c>
      <c r="C16" s="8">
        <v>0.33055555555555555</v>
      </c>
      <c r="D16" s="8">
        <v>0.66666666666666663</v>
      </c>
      <c r="E16" s="8">
        <f t="shared" si="1"/>
        <v>0.33611111111111108</v>
      </c>
      <c r="F16" s="10">
        <f>HOUR(E16)-1+MINUTE(E16)/60</f>
        <v>7.0666666666666664</v>
      </c>
      <c r="G16" s="52"/>
    </row>
    <row r="17" spans="1:7" ht="18.75" x14ac:dyDescent="0.2">
      <c r="A17" s="19">
        <v>46280</v>
      </c>
      <c r="B17" s="15">
        <v>46280</v>
      </c>
      <c r="C17" s="8">
        <v>0.3347222222222222</v>
      </c>
      <c r="D17" s="8">
        <v>0.66666666666666663</v>
      </c>
      <c r="E17" s="8">
        <f t="shared" si="1"/>
        <v>0.33194444444444443</v>
      </c>
      <c r="F17" s="10">
        <f>HOUR(E17)-1+MINUTE(E17)/60</f>
        <v>6.9666666666666668</v>
      </c>
      <c r="G17" s="52"/>
    </row>
    <row r="18" spans="1:7" ht="18.75" x14ac:dyDescent="0.2">
      <c r="A18" s="19">
        <v>46281</v>
      </c>
      <c r="B18" s="15">
        <v>46281</v>
      </c>
      <c r="C18" s="8">
        <v>0.33888888888888885</v>
      </c>
      <c r="D18" s="8">
        <v>0.66666666666666663</v>
      </c>
      <c r="E18" s="8">
        <f t="shared" si="1"/>
        <v>0.32777777777777778</v>
      </c>
      <c r="F18" s="10">
        <f>HOUR(E18)-1+MINUTE(E18)/60</f>
        <v>6.8666666666666671</v>
      </c>
      <c r="G18" s="52"/>
    </row>
    <row r="19" spans="1:7" ht="18.75" x14ac:dyDescent="0.2">
      <c r="A19" s="19">
        <v>46282</v>
      </c>
      <c r="B19" s="15">
        <v>46282</v>
      </c>
      <c r="C19" s="8">
        <v>0.33124999999999999</v>
      </c>
      <c r="D19" s="8">
        <v>0.66666666666666663</v>
      </c>
      <c r="E19" s="8">
        <f t="shared" si="1"/>
        <v>0.33541666666666664</v>
      </c>
      <c r="F19" s="10">
        <f>HOUR(E19)-1+MINUTE(E19)/60</f>
        <v>7.05</v>
      </c>
      <c r="G19" s="52"/>
    </row>
    <row r="20" spans="1:7" ht="18.75" x14ac:dyDescent="0.2">
      <c r="A20" s="19">
        <v>46283</v>
      </c>
      <c r="B20" s="15">
        <v>46283</v>
      </c>
      <c r="C20" s="8">
        <v>0.33888888888888885</v>
      </c>
      <c r="D20" s="8">
        <v>0.60416666666666663</v>
      </c>
      <c r="E20" s="8">
        <f t="shared" si="1"/>
        <v>0.26527777777777778</v>
      </c>
      <c r="F20" s="10">
        <f>HOUR(E20)-1.5+MINUTE(E20)/60</f>
        <v>4.8666666666666663</v>
      </c>
      <c r="G20" s="52"/>
    </row>
    <row r="21" spans="1:7" ht="18.75" x14ac:dyDescent="0.2">
      <c r="A21" s="19">
        <v>46284</v>
      </c>
      <c r="B21" s="57">
        <v>46284</v>
      </c>
      <c r="C21" s="58"/>
      <c r="D21" s="58"/>
      <c r="E21" s="58"/>
      <c r="F21" s="59"/>
      <c r="G21" s="52"/>
    </row>
    <row r="22" spans="1:7" ht="18.75" x14ac:dyDescent="0.2">
      <c r="A22" s="19">
        <v>46285</v>
      </c>
      <c r="B22" s="15">
        <v>46285</v>
      </c>
      <c r="C22" s="8">
        <v>0.30763888888888891</v>
      </c>
      <c r="D22" s="8">
        <v>0.66666666666666663</v>
      </c>
      <c r="E22" s="8">
        <f t="shared" ref="E22:E27" si="2">(D22)-(C22)</f>
        <v>0.35902777777777772</v>
      </c>
      <c r="F22" s="10">
        <f>HOUR(E22)-1+MINUTE(E22)/60</f>
        <v>7.6166666666666671</v>
      </c>
      <c r="G22" s="52"/>
    </row>
    <row r="23" spans="1:7" ht="18.75" x14ac:dyDescent="0.2">
      <c r="A23" s="19">
        <v>46286</v>
      </c>
      <c r="B23" s="15">
        <v>46286</v>
      </c>
      <c r="C23" s="8">
        <v>0.3354166666666667</v>
      </c>
      <c r="D23" s="8">
        <v>0.66666666666666663</v>
      </c>
      <c r="E23" s="8">
        <f t="shared" si="2"/>
        <v>0.33124999999999993</v>
      </c>
      <c r="F23" s="10">
        <f>HOUR(E23)-1+MINUTE(E23)/60</f>
        <v>6.95</v>
      </c>
      <c r="G23" s="52"/>
    </row>
    <row r="24" spans="1:7" ht="18.75" x14ac:dyDescent="0.2">
      <c r="A24" s="19">
        <v>46287</v>
      </c>
      <c r="B24" s="15">
        <v>46287</v>
      </c>
      <c r="C24" s="8">
        <v>0.30902777777777779</v>
      </c>
      <c r="D24" s="8">
        <v>0.66666666666666663</v>
      </c>
      <c r="E24" s="8">
        <f t="shared" si="2"/>
        <v>0.35763888888888884</v>
      </c>
      <c r="F24" s="10">
        <f>HOUR(E24)-1+MINUTE(E24)/60</f>
        <v>7.583333333333333</v>
      </c>
      <c r="G24" s="52"/>
    </row>
    <row r="25" spans="1:7" ht="18.75" x14ac:dyDescent="0.2">
      <c r="A25" s="19">
        <v>46288</v>
      </c>
      <c r="B25" s="15">
        <v>46288</v>
      </c>
      <c r="C25" s="8">
        <v>0.33611111111111108</v>
      </c>
      <c r="D25" s="8">
        <v>0.66666666666666663</v>
      </c>
      <c r="E25" s="8">
        <f t="shared" si="2"/>
        <v>0.33055555555555555</v>
      </c>
      <c r="F25" s="10">
        <f>HOUR(E25)-1+MINUTE(E25)/60</f>
        <v>6.9333333333333336</v>
      </c>
      <c r="G25" s="52"/>
    </row>
    <row r="26" spans="1:7" ht="18.75" x14ac:dyDescent="0.2">
      <c r="A26" s="19">
        <v>46289</v>
      </c>
      <c r="B26" s="15">
        <v>46289</v>
      </c>
      <c r="C26" s="8">
        <v>0.3347222222222222</v>
      </c>
      <c r="D26" s="8">
        <v>0.66666666666666663</v>
      </c>
      <c r="E26" s="8">
        <f t="shared" si="2"/>
        <v>0.33194444444444443</v>
      </c>
      <c r="F26" s="10">
        <f>HOUR(E26)-1+MINUTE(E26)/60</f>
        <v>6.9666666666666668</v>
      </c>
      <c r="G26" s="52"/>
    </row>
    <row r="27" spans="1:7" ht="18.75" x14ac:dyDescent="0.2">
      <c r="A27" s="19">
        <v>46290</v>
      </c>
      <c r="B27" s="15">
        <v>46290</v>
      </c>
      <c r="C27" s="8">
        <v>0.33958333333333335</v>
      </c>
      <c r="D27" s="8">
        <v>0.60416666666666663</v>
      </c>
      <c r="E27" s="8">
        <f t="shared" si="2"/>
        <v>0.26458333333333328</v>
      </c>
      <c r="F27" s="10">
        <f>HOUR(E27)-1.5+MINUTE(E27)/60</f>
        <v>4.8499999999999996</v>
      </c>
      <c r="G27" s="52"/>
    </row>
    <row r="28" spans="1:7" ht="18.75" x14ac:dyDescent="0.2">
      <c r="A28" s="19">
        <v>46291</v>
      </c>
      <c r="B28" s="57">
        <v>46291</v>
      </c>
      <c r="C28" s="58"/>
      <c r="D28" s="58"/>
      <c r="E28" s="58"/>
      <c r="F28" s="59"/>
      <c r="G28" s="52"/>
    </row>
    <row r="29" spans="1:7" ht="18.75" x14ac:dyDescent="0.2">
      <c r="A29" s="19">
        <v>46292</v>
      </c>
      <c r="B29" s="15">
        <v>46292</v>
      </c>
      <c r="C29" s="8">
        <v>0.34097222222222223</v>
      </c>
      <c r="D29" s="8">
        <v>0.66666666666666663</v>
      </c>
      <c r="E29" s="8">
        <f>(D29)-(C29)</f>
        <v>0.3256944444444444</v>
      </c>
      <c r="F29" s="10">
        <f>HOUR(E29)-1+MINUTE(E29)/60</f>
        <v>6.8166666666666664</v>
      </c>
      <c r="G29" s="52"/>
    </row>
    <row r="30" spans="1:7" ht="18.75" x14ac:dyDescent="0.2">
      <c r="A30" s="19">
        <v>46293</v>
      </c>
      <c r="B30" s="15">
        <v>46293</v>
      </c>
      <c r="C30" s="8">
        <v>0.3125</v>
      </c>
      <c r="D30" s="8">
        <v>0.66666666666666663</v>
      </c>
      <c r="E30" s="8">
        <f>(D30)-(C30)</f>
        <v>0.35416666666666663</v>
      </c>
      <c r="F30" s="10">
        <f>HOUR(E30)-1+MINUTE(E30)/60</f>
        <v>7.5</v>
      </c>
      <c r="G30" s="52"/>
    </row>
    <row r="31" spans="1:7" ht="18.75" x14ac:dyDescent="0.2">
      <c r="A31" s="19">
        <v>46294</v>
      </c>
      <c r="B31" s="15">
        <v>46294</v>
      </c>
      <c r="C31" s="28">
        <v>0.34583333333333338</v>
      </c>
      <c r="D31" s="8">
        <v>0.66666666666666663</v>
      </c>
      <c r="E31" s="8">
        <f>(D31)-(C31)</f>
        <v>0.32083333333333325</v>
      </c>
      <c r="F31" s="10">
        <f>HOUR(E31)-1+MINUTE(E31)/60</f>
        <v>6.7</v>
      </c>
      <c r="G31" s="52"/>
    </row>
    <row r="32" spans="1:7" ht="19.5" thickBot="1" x14ac:dyDescent="0.25">
      <c r="A32" s="20">
        <v>46295</v>
      </c>
      <c r="B32" s="26">
        <v>46295</v>
      </c>
      <c r="C32" s="9">
        <v>0.33263888888888887</v>
      </c>
      <c r="D32" s="27">
        <v>0.66666666666666663</v>
      </c>
      <c r="E32" s="9">
        <f>(D32)-(C32)</f>
        <v>0.33402777777777776</v>
      </c>
      <c r="F32" s="11">
        <f>HOUR(E32)-1+MINUTE(E32)/60</f>
        <v>7.0166666666666666</v>
      </c>
      <c r="G32" s="60"/>
    </row>
    <row r="33" spans="1:7" ht="19.5" thickBot="1" x14ac:dyDescent="0.25">
      <c r="A33" s="3"/>
      <c r="B33" s="3"/>
      <c r="C33" s="3"/>
      <c r="D33" s="3"/>
      <c r="E33" s="3"/>
      <c r="F33" s="4"/>
      <c r="G33" s="3"/>
    </row>
    <row r="34" spans="1:7" ht="24" thickBot="1" x14ac:dyDescent="0.25">
      <c r="A34" s="3"/>
      <c r="B34" s="3"/>
      <c r="C34" s="3"/>
      <c r="D34" s="3"/>
      <c r="E34" s="6" t="s">
        <v>56</v>
      </c>
      <c r="F34" s="7">
        <f>SUM(F3:F32)</f>
        <v>175.13333333333333</v>
      </c>
      <c r="G34" s="3"/>
    </row>
    <row r="35" spans="1:7" ht="19.5" thickBot="1" x14ac:dyDescent="0.25">
      <c r="A35" s="3"/>
      <c r="B35" s="3"/>
      <c r="C35" s="3"/>
      <c r="D35" s="3"/>
      <c r="E35" s="3"/>
      <c r="F35" s="3"/>
      <c r="G35" s="3"/>
    </row>
    <row r="36" spans="1:7" ht="23.25" x14ac:dyDescent="0.2">
      <c r="A36" s="3"/>
      <c r="B36" s="3"/>
      <c r="C36" s="3"/>
      <c r="D36" s="3"/>
      <c r="E36" s="22" t="s">
        <v>57</v>
      </c>
      <c r="F36" s="23">
        <f>COUNT(F3:F32)</f>
        <v>26</v>
      </c>
      <c r="G36" s="3"/>
    </row>
    <row r="37" spans="1:7" ht="24" thickBot="1" x14ac:dyDescent="0.25">
      <c r="A37" s="3"/>
      <c r="B37" s="3"/>
      <c r="C37" s="3"/>
      <c r="D37" s="3"/>
      <c r="E37" s="24" t="s">
        <v>58</v>
      </c>
      <c r="F37" s="25">
        <f>30-F36-4</f>
        <v>0</v>
      </c>
      <c r="G37" s="3"/>
    </row>
  </sheetData>
  <mergeCells count="6">
    <mergeCell ref="B1:G1"/>
    <mergeCell ref="G2:G32"/>
    <mergeCell ref="B7:F7"/>
    <mergeCell ref="B14:F14"/>
    <mergeCell ref="B21:F21"/>
    <mergeCell ref="B28:F2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5FDC53-7A26-4860-95A4-0ABF79702868}">
  <dimension ref="A1:G37"/>
  <sheetViews>
    <sheetView rightToLeft="1" workbookViewId="0"/>
  </sheetViews>
  <sheetFormatPr defaultRowHeight="14.25" x14ac:dyDescent="0.2"/>
  <cols>
    <col min="1" max="1" width="9.75" bestFit="1" customWidth="1"/>
    <col min="2" max="2" width="11.625" bestFit="1" customWidth="1"/>
    <col min="3" max="3" width="12.625" bestFit="1" customWidth="1"/>
    <col min="4" max="4" width="12.375" bestFit="1" customWidth="1"/>
    <col min="5" max="5" width="16.875" bestFit="1" customWidth="1"/>
    <col min="6" max="6" width="13.125" bestFit="1" customWidth="1"/>
    <col min="7" max="7" width="7.875" bestFit="1" customWidth="1"/>
  </cols>
  <sheetData>
    <row r="1" spans="1:7" ht="34.5" thickBot="1" x14ac:dyDescent="0.25">
      <c r="A1" s="5" t="s">
        <v>49</v>
      </c>
      <c r="B1" s="54" t="s">
        <v>17</v>
      </c>
      <c r="C1" s="55"/>
      <c r="D1" s="55"/>
      <c r="E1" s="55"/>
      <c r="F1" s="55"/>
      <c r="G1" s="56"/>
    </row>
    <row r="2" spans="1:7" ht="19.5" thickBot="1" x14ac:dyDescent="0.25">
      <c r="A2" s="5" t="s">
        <v>50</v>
      </c>
      <c r="B2" s="21" t="s">
        <v>51</v>
      </c>
      <c r="C2" s="16" t="s">
        <v>52</v>
      </c>
      <c r="D2" s="16" t="s">
        <v>53</v>
      </c>
      <c r="E2" s="16" t="s">
        <v>54</v>
      </c>
      <c r="F2" s="17" t="s">
        <v>55</v>
      </c>
      <c r="G2" s="51">
        <v>46266</v>
      </c>
    </row>
    <row r="3" spans="1:7" ht="18.75" x14ac:dyDescent="0.2">
      <c r="A3" s="18">
        <v>46266</v>
      </c>
      <c r="B3" s="14">
        <v>46266</v>
      </c>
      <c r="C3" s="12">
        <v>0.31180555555555556</v>
      </c>
      <c r="D3" s="12">
        <v>0.69444444444444453</v>
      </c>
      <c r="E3" s="12">
        <f>(D3)-(C3)</f>
        <v>0.38263888888888897</v>
      </c>
      <c r="F3" s="13">
        <f>HOUR(E3)-1+MINUTE(E3)/60</f>
        <v>8.1833333333333336</v>
      </c>
      <c r="G3" s="52"/>
    </row>
    <row r="4" spans="1:7" ht="18.75" x14ac:dyDescent="0.2">
      <c r="A4" s="19">
        <v>46267</v>
      </c>
      <c r="B4" s="15">
        <v>46267</v>
      </c>
      <c r="C4" s="8">
        <v>0.32777777777777778</v>
      </c>
      <c r="D4" s="8">
        <v>0.70138888888888884</v>
      </c>
      <c r="E4" s="8">
        <f>(D4)-(C4)</f>
        <v>0.37361111111111106</v>
      </c>
      <c r="F4" s="10">
        <f>HOUR(E4)-1+MINUTE(E4)/60</f>
        <v>7.9666666666666668</v>
      </c>
      <c r="G4" s="52"/>
    </row>
    <row r="5" spans="1:7" ht="18.75" x14ac:dyDescent="0.2">
      <c r="A5" s="19">
        <v>46268</v>
      </c>
      <c r="B5" s="15">
        <v>46268</v>
      </c>
      <c r="C5" s="8">
        <v>0.33263888888888887</v>
      </c>
      <c r="D5" s="8">
        <v>0.6875</v>
      </c>
      <c r="E5" s="8">
        <f>(D5)-(C5)</f>
        <v>0.35486111111111113</v>
      </c>
      <c r="F5" s="10">
        <f>HOUR(E5)-1+MINUTE(E5)/60</f>
        <v>7.5166666666666666</v>
      </c>
      <c r="G5" s="52"/>
    </row>
    <row r="6" spans="1:7" ht="18.75" x14ac:dyDescent="0.2">
      <c r="A6" s="19">
        <v>46269</v>
      </c>
      <c r="B6" s="15">
        <v>46269</v>
      </c>
      <c r="C6" s="8">
        <v>0.33888888888888885</v>
      </c>
      <c r="D6" s="8">
        <v>0.5756944444444444</v>
      </c>
      <c r="E6" s="8">
        <f>(D6)-(C6)</f>
        <v>0.23680555555555555</v>
      </c>
      <c r="F6" s="10">
        <f>HOUR(E6)-1.5+MINUTE(E6)/60</f>
        <v>4.1833333333333336</v>
      </c>
      <c r="G6" s="52"/>
    </row>
    <row r="7" spans="1:7" ht="18.75" x14ac:dyDescent="0.2">
      <c r="A7" s="19">
        <v>46270</v>
      </c>
      <c r="B7" s="57">
        <v>46270</v>
      </c>
      <c r="C7" s="58"/>
      <c r="D7" s="58"/>
      <c r="E7" s="58"/>
      <c r="F7" s="59"/>
      <c r="G7" s="52"/>
    </row>
    <row r="8" spans="1:7" ht="18.75" x14ac:dyDescent="0.2">
      <c r="A8" s="19">
        <v>46271</v>
      </c>
      <c r="B8" s="15">
        <v>46271</v>
      </c>
      <c r="C8" s="8">
        <v>0.34027777777777773</v>
      </c>
      <c r="D8" s="8">
        <v>0.69236111111111109</v>
      </c>
      <c r="E8" s="8">
        <f t="shared" ref="E8:E13" si="0">(D8)-(C8)</f>
        <v>0.35208333333333336</v>
      </c>
      <c r="F8" s="10">
        <f>HOUR(E8)-1+MINUTE(E8)/60</f>
        <v>7.45</v>
      </c>
      <c r="G8" s="52"/>
    </row>
    <row r="9" spans="1:7" ht="18.75" x14ac:dyDescent="0.2">
      <c r="A9" s="19">
        <v>46272</v>
      </c>
      <c r="B9" s="15">
        <v>46272</v>
      </c>
      <c r="C9" s="8">
        <v>0.33194444444444443</v>
      </c>
      <c r="D9" s="8">
        <v>0.6875</v>
      </c>
      <c r="E9" s="8">
        <f t="shared" si="0"/>
        <v>0.35555555555555557</v>
      </c>
      <c r="F9" s="10">
        <f>HOUR(E9)-1+MINUTE(E9)/60</f>
        <v>7.5333333333333332</v>
      </c>
      <c r="G9" s="52"/>
    </row>
    <row r="10" spans="1:7" ht="18.75" x14ac:dyDescent="0.2">
      <c r="A10" s="19">
        <v>46273</v>
      </c>
      <c r="B10" s="15">
        <v>46273</v>
      </c>
      <c r="C10" s="8">
        <v>0.32847222222222222</v>
      </c>
      <c r="D10" s="8">
        <v>0.69097222222222221</v>
      </c>
      <c r="E10" s="8">
        <f t="shared" si="0"/>
        <v>0.36249999999999999</v>
      </c>
      <c r="F10" s="10">
        <f>HOUR(E10)-1+MINUTE(E10)/60</f>
        <v>7.7</v>
      </c>
      <c r="G10" s="52"/>
    </row>
    <row r="11" spans="1:7" ht="18.75" x14ac:dyDescent="0.2">
      <c r="A11" s="19">
        <v>46274</v>
      </c>
      <c r="B11" s="15">
        <v>46274</v>
      </c>
      <c r="C11" s="8">
        <v>0.33124999999999999</v>
      </c>
      <c r="D11" s="8">
        <v>0.69236111111111109</v>
      </c>
      <c r="E11" s="8">
        <f t="shared" si="0"/>
        <v>0.3611111111111111</v>
      </c>
      <c r="F11" s="10">
        <f>HOUR(E11)-1+MINUTE(E11)/60</f>
        <v>7.666666666666667</v>
      </c>
      <c r="G11" s="52"/>
    </row>
    <row r="12" spans="1:7" ht="18.75" x14ac:dyDescent="0.2">
      <c r="A12" s="19">
        <v>46275</v>
      </c>
      <c r="B12" s="15">
        <v>46275</v>
      </c>
      <c r="C12" s="8">
        <v>0.3347222222222222</v>
      </c>
      <c r="D12" s="8">
        <v>0.69166666666666676</v>
      </c>
      <c r="E12" s="8">
        <f t="shared" si="0"/>
        <v>0.35694444444444456</v>
      </c>
      <c r="F12" s="10">
        <f>HOUR(E12)-1+MINUTE(E12)/60</f>
        <v>7.5666666666666664</v>
      </c>
      <c r="G12" s="52"/>
    </row>
    <row r="13" spans="1:7" ht="18.75" x14ac:dyDescent="0.2">
      <c r="A13" s="19">
        <v>46276</v>
      </c>
      <c r="B13" s="15">
        <v>46276</v>
      </c>
      <c r="C13" s="8">
        <v>0.3354166666666667</v>
      </c>
      <c r="D13" s="8">
        <v>0.5756944444444444</v>
      </c>
      <c r="E13" s="8">
        <f t="shared" si="0"/>
        <v>0.2402777777777777</v>
      </c>
      <c r="F13" s="10">
        <f>HOUR(E13)-1.5+MINUTE(E13)/60</f>
        <v>4.2666666666666666</v>
      </c>
      <c r="G13" s="52"/>
    </row>
    <row r="14" spans="1:7" ht="18.75" x14ac:dyDescent="0.2">
      <c r="A14" s="19">
        <v>46277</v>
      </c>
      <c r="B14" s="57">
        <v>46277</v>
      </c>
      <c r="C14" s="58"/>
      <c r="D14" s="58"/>
      <c r="E14" s="58"/>
      <c r="F14" s="59"/>
      <c r="G14" s="52"/>
    </row>
    <row r="15" spans="1:7" ht="18.75" x14ac:dyDescent="0.2">
      <c r="A15" s="19">
        <v>46278</v>
      </c>
      <c r="B15" s="15">
        <v>46278</v>
      </c>
      <c r="C15" s="42"/>
      <c r="D15" s="43"/>
      <c r="E15" s="43"/>
      <c r="F15" s="44"/>
      <c r="G15" s="52"/>
    </row>
    <row r="16" spans="1:7" ht="18.75" x14ac:dyDescent="0.2">
      <c r="A16" s="19">
        <v>46279</v>
      </c>
      <c r="B16" s="15">
        <v>46279</v>
      </c>
      <c r="C16" s="8">
        <v>0.33124999999999999</v>
      </c>
      <c r="D16" s="8">
        <v>0.69374999999999998</v>
      </c>
      <c r="E16" s="8">
        <f>(D16)-(C16)</f>
        <v>0.36249999999999999</v>
      </c>
      <c r="F16" s="10">
        <f>HOUR(E16)-1+MINUTE(E16)/60</f>
        <v>7.7</v>
      </c>
      <c r="G16" s="52"/>
    </row>
    <row r="17" spans="1:7" ht="18.75" x14ac:dyDescent="0.2">
      <c r="A17" s="19">
        <v>46280</v>
      </c>
      <c r="B17" s="15">
        <v>46280</v>
      </c>
      <c r="C17" s="8">
        <v>0.3347222222222222</v>
      </c>
      <c r="D17" s="8">
        <v>0.6972222222222223</v>
      </c>
      <c r="E17" s="8">
        <f>(D17)-(C17)</f>
        <v>0.3625000000000001</v>
      </c>
      <c r="F17" s="10">
        <f>HOUR(E17)-1+MINUTE(E17)/60</f>
        <v>7.7</v>
      </c>
      <c r="G17" s="52"/>
    </row>
    <row r="18" spans="1:7" ht="18.75" x14ac:dyDescent="0.2">
      <c r="A18" s="19">
        <v>46281</v>
      </c>
      <c r="B18" s="15">
        <v>46281</v>
      </c>
      <c r="C18" s="8">
        <v>0.33888888888888885</v>
      </c>
      <c r="D18" s="8">
        <v>0.70138888888888884</v>
      </c>
      <c r="E18" s="8">
        <f>(D18)-(C18)</f>
        <v>0.36249999999999999</v>
      </c>
      <c r="F18" s="10">
        <f>HOUR(E18)-1+MINUTE(E18)/60</f>
        <v>7.7</v>
      </c>
      <c r="G18" s="52"/>
    </row>
    <row r="19" spans="1:7" ht="18.75" x14ac:dyDescent="0.2">
      <c r="A19" s="19">
        <v>46282</v>
      </c>
      <c r="B19" s="15">
        <v>46282</v>
      </c>
      <c r="C19" s="8">
        <v>0.33124999999999999</v>
      </c>
      <c r="D19" s="8">
        <v>0.6972222222222223</v>
      </c>
      <c r="E19" s="8">
        <f>(D19)-(C19)</f>
        <v>0.36597222222222231</v>
      </c>
      <c r="F19" s="10">
        <f>HOUR(E19)-1+MINUTE(E19)/60</f>
        <v>7.7833333333333332</v>
      </c>
      <c r="G19" s="52"/>
    </row>
    <row r="20" spans="1:7" ht="18.75" x14ac:dyDescent="0.2">
      <c r="A20" s="19">
        <v>46283</v>
      </c>
      <c r="B20" s="15">
        <v>46283</v>
      </c>
      <c r="C20" s="8">
        <v>0.33888888888888885</v>
      </c>
      <c r="D20" s="8">
        <v>0.60416666666666663</v>
      </c>
      <c r="E20" s="8">
        <f>(D20)-(C20)</f>
        <v>0.26527777777777778</v>
      </c>
      <c r="F20" s="10">
        <f>HOUR(E20)-1.5+MINUTE(E20)/60</f>
        <v>4.8666666666666663</v>
      </c>
      <c r="G20" s="52"/>
    </row>
    <row r="21" spans="1:7" ht="18.75" x14ac:dyDescent="0.2">
      <c r="A21" s="19">
        <v>46284</v>
      </c>
      <c r="B21" s="57">
        <v>46284</v>
      </c>
      <c r="C21" s="58"/>
      <c r="D21" s="58"/>
      <c r="E21" s="58"/>
      <c r="F21" s="59"/>
      <c r="G21" s="52"/>
    </row>
    <row r="22" spans="1:7" ht="18.75" x14ac:dyDescent="0.2">
      <c r="A22" s="19">
        <v>46285</v>
      </c>
      <c r="B22" s="15">
        <v>46285</v>
      </c>
      <c r="C22" s="42"/>
      <c r="D22" s="43"/>
      <c r="E22" s="43"/>
      <c r="F22" s="44"/>
      <c r="G22" s="52"/>
    </row>
    <row r="23" spans="1:7" ht="18.75" x14ac:dyDescent="0.2">
      <c r="A23" s="19">
        <v>46286</v>
      </c>
      <c r="B23" s="15">
        <v>46286</v>
      </c>
      <c r="C23" s="8">
        <v>0.3354166666666667</v>
      </c>
      <c r="D23" s="8">
        <v>0.69513888888888886</v>
      </c>
      <c r="E23" s="8">
        <f>(D23)-(C23)</f>
        <v>0.35972222222222217</v>
      </c>
      <c r="F23" s="10">
        <f>HOUR(E23)-1+MINUTE(E23)/60</f>
        <v>7.6333333333333329</v>
      </c>
      <c r="G23" s="52"/>
    </row>
    <row r="24" spans="1:7" ht="18.75" x14ac:dyDescent="0.2">
      <c r="A24" s="19">
        <v>46287</v>
      </c>
      <c r="B24" s="15">
        <v>46287</v>
      </c>
      <c r="C24" s="42"/>
      <c r="D24" s="43"/>
      <c r="E24" s="43"/>
      <c r="F24" s="44"/>
      <c r="G24" s="52"/>
    </row>
    <row r="25" spans="1:7" ht="18.75" x14ac:dyDescent="0.2">
      <c r="A25" s="19">
        <v>46288</v>
      </c>
      <c r="B25" s="15">
        <v>46288</v>
      </c>
      <c r="C25" s="8">
        <v>0.33611111111111108</v>
      </c>
      <c r="D25" s="8">
        <v>0.68402777777777779</v>
      </c>
      <c r="E25" s="8">
        <f>(D25)-(C25)</f>
        <v>0.34791666666666671</v>
      </c>
      <c r="F25" s="10">
        <f>HOUR(E25)-1+MINUTE(E25)/60</f>
        <v>7.35</v>
      </c>
      <c r="G25" s="52"/>
    </row>
    <row r="26" spans="1:7" ht="18.75" x14ac:dyDescent="0.2">
      <c r="A26" s="19">
        <v>46289</v>
      </c>
      <c r="B26" s="15">
        <v>46289</v>
      </c>
      <c r="C26" s="8">
        <v>0.3347222222222222</v>
      </c>
      <c r="D26" s="8">
        <v>0.68263888888888891</v>
      </c>
      <c r="E26" s="8">
        <f>(D26)-(C26)</f>
        <v>0.34791666666666671</v>
      </c>
      <c r="F26" s="10">
        <f>HOUR(E26)-1+MINUTE(E26)/60</f>
        <v>7.35</v>
      </c>
      <c r="G26" s="52"/>
    </row>
    <row r="27" spans="1:7" ht="18.75" x14ac:dyDescent="0.2">
      <c r="A27" s="19">
        <v>46290</v>
      </c>
      <c r="B27" s="15">
        <v>46290</v>
      </c>
      <c r="C27" s="42"/>
      <c r="D27" s="43"/>
      <c r="E27" s="43"/>
      <c r="F27" s="44"/>
      <c r="G27" s="52"/>
    </row>
    <row r="28" spans="1:7" ht="18.75" x14ac:dyDescent="0.2">
      <c r="A28" s="19">
        <v>46291</v>
      </c>
      <c r="B28" s="57">
        <v>46291</v>
      </c>
      <c r="C28" s="58"/>
      <c r="D28" s="58"/>
      <c r="E28" s="58"/>
      <c r="F28" s="59"/>
      <c r="G28" s="52"/>
    </row>
    <row r="29" spans="1:7" ht="18.75" x14ac:dyDescent="0.2">
      <c r="A29" s="19">
        <v>46292</v>
      </c>
      <c r="B29" s="15">
        <v>46292</v>
      </c>
      <c r="C29" s="8">
        <v>0.34097222222222223</v>
      </c>
      <c r="D29" s="8">
        <v>0.68958333333333333</v>
      </c>
      <c r="E29" s="8">
        <f>(D29)-(C29)</f>
        <v>0.34861111111111109</v>
      </c>
      <c r="F29" s="10">
        <f>HOUR(E29)-1+MINUTE(E29)/60</f>
        <v>7.3666666666666663</v>
      </c>
      <c r="G29" s="52"/>
    </row>
    <row r="30" spans="1:7" ht="18.75" x14ac:dyDescent="0.2">
      <c r="A30" s="19">
        <v>46293</v>
      </c>
      <c r="B30" s="15">
        <v>46293</v>
      </c>
      <c r="C30" s="8">
        <v>0.31319444444444444</v>
      </c>
      <c r="D30" s="8">
        <v>0.70138888888888884</v>
      </c>
      <c r="E30" s="8">
        <f>(D30)-(C30)</f>
        <v>0.3881944444444444</v>
      </c>
      <c r="F30" s="10">
        <f>HOUR(E30)-1+MINUTE(E30)/60</f>
        <v>8.3166666666666664</v>
      </c>
      <c r="G30" s="52"/>
    </row>
    <row r="31" spans="1:7" ht="18.75" x14ac:dyDescent="0.2">
      <c r="A31" s="19">
        <v>46294</v>
      </c>
      <c r="B31" s="15">
        <v>46294</v>
      </c>
      <c r="C31" s="28">
        <v>0.34583333333333338</v>
      </c>
      <c r="D31" s="28">
        <v>0.70138888888888884</v>
      </c>
      <c r="E31" s="28">
        <f>(D31)-(C31)</f>
        <v>0.35555555555555546</v>
      </c>
      <c r="F31" s="29">
        <f>HOUR(E31)-1+MINUTE(E31)/60</f>
        <v>7.5333333333333332</v>
      </c>
      <c r="G31" s="52"/>
    </row>
    <row r="32" spans="1:7" ht="19.5" thickBot="1" x14ac:dyDescent="0.25">
      <c r="A32" s="20">
        <v>46295</v>
      </c>
      <c r="B32" s="26">
        <v>46295</v>
      </c>
      <c r="C32" s="48"/>
      <c r="D32" s="49"/>
      <c r="E32" s="49"/>
      <c r="F32" s="50"/>
      <c r="G32" s="53"/>
    </row>
    <row r="33" spans="1:7" ht="19.5" thickBot="1" x14ac:dyDescent="0.25">
      <c r="A33" s="3"/>
      <c r="B33" s="3"/>
      <c r="C33" s="3"/>
      <c r="D33" s="3"/>
      <c r="E33" s="3"/>
      <c r="F33" s="4"/>
      <c r="G33" s="3"/>
    </row>
    <row r="34" spans="1:7" ht="24" thickBot="1" x14ac:dyDescent="0.25">
      <c r="A34" s="3"/>
      <c r="B34" s="3"/>
      <c r="C34" s="3"/>
      <c r="D34" s="3"/>
      <c r="E34" s="6" t="s">
        <v>56</v>
      </c>
      <c r="F34" s="7">
        <f>SUM(F3:F32)</f>
        <v>151.33333333333331</v>
      </c>
      <c r="G34" s="3"/>
    </row>
    <row r="35" spans="1:7" ht="19.5" thickBot="1" x14ac:dyDescent="0.25">
      <c r="A35" s="3"/>
      <c r="B35" s="3"/>
      <c r="C35" s="3"/>
      <c r="D35" s="3"/>
      <c r="E35" s="3"/>
      <c r="F35" s="3"/>
      <c r="G35" s="3"/>
    </row>
    <row r="36" spans="1:7" ht="23.25" x14ac:dyDescent="0.2">
      <c r="A36" s="3"/>
      <c r="B36" s="3"/>
      <c r="C36" s="3"/>
      <c r="D36" s="3"/>
      <c r="E36" s="22" t="s">
        <v>57</v>
      </c>
      <c r="F36" s="23">
        <f>COUNT(F3:F32)</f>
        <v>21</v>
      </c>
      <c r="G36" s="3"/>
    </row>
    <row r="37" spans="1:7" ht="24" thickBot="1" x14ac:dyDescent="0.25">
      <c r="A37" s="3"/>
      <c r="B37" s="3"/>
      <c r="C37" s="3"/>
      <c r="D37" s="3"/>
      <c r="E37" s="24" t="s">
        <v>58</v>
      </c>
      <c r="F37" s="25">
        <f>30-F36-4</f>
        <v>5</v>
      </c>
      <c r="G37" s="3"/>
    </row>
  </sheetData>
  <mergeCells count="11">
    <mergeCell ref="C32:F32"/>
    <mergeCell ref="B1:G1"/>
    <mergeCell ref="G2:G32"/>
    <mergeCell ref="B7:F7"/>
    <mergeCell ref="B14:F14"/>
    <mergeCell ref="B21:F21"/>
    <mergeCell ref="B28:F28"/>
    <mergeCell ref="C15:F15"/>
    <mergeCell ref="C22:F22"/>
    <mergeCell ref="C24:F24"/>
    <mergeCell ref="C27:F27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9329A-4522-4037-9793-10DD1D19F2E0}">
  <dimension ref="A1:G37"/>
  <sheetViews>
    <sheetView rightToLeft="1" workbookViewId="0"/>
  </sheetViews>
  <sheetFormatPr defaultRowHeight="14.25" x14ac:dyDescent="0.2"/>
  <cols>
    <col min="1" max="1" width="9.75" bestFit="1" customWidth="1"/>
    <col min="2" max="2" width="11.625" bestFit="1" customWidth="1"/>
    <col min="3" max="3" width="12.625" bestFit="1" customWidth="1"/>
    <col min="4" max="4" width="12.375" bestFit="1" customWidth="1"/>
    <col min="5" max="5" width="16.875" bestFit="1" customWidth="1"/>
    <col min="6" max="6" width="13.125" bestFit="1" customWidth="1"/>
    <col min="7" max="7" width="7.875" bestFit="1" customWidth="1"/>
  </cols>
  <sheetData>
    <row r="1" spans="1:7" ht="34.5" thickBot="1" x14ac:dyDescent="0.25">
      <c r="A1" s="5" t="s">
        <v>49</v>
      </c>
      <c r="B1" s="54" t="s">
        <v>16</v>
      </c>
      <c r="C1" s="55"/>
      <c r="D1" s="55"/>
      <c r="E1" s="55"/>
      <c r="F1" s="55"/>
      <c r="G1" s="56"/>
    </row>
    <row r="2" spans="1:7" ht="19.5" thickBot="1" x14ac:dyDescent="0.25">
      <c r="A2" s="5" t="s">
        <v>50</v>
      </c>
      <c r="B2" s="21" t="s">
        <v>51</v>
      </c>
      <c r="C2" s="16" t="s">
        <v>52</v>
      </c>
      <c r="D2" s="16" t="s">
        <v>53</v>
      </c>
      <c r="E2" s="16" t="s">
        <v>54</v>
      </c>
      <c r="F2" s="17" t="s">
        <v>55</v>
      </c>
      <c r="G2" s="51">
        <v>46266</v>
      </c>
    </row>
    <row r="3" spans="1:7" ht="18.75" x14ac:dyDescent="0.2">
      <c r="A3" s="18">
        <v>46266</v>
      </c>
      <c r="B3" s="14">
        <v>46266</v>
      </c>
      <c r="C3" s="61"/>
      <c r="D3" s="62"/>
      <c r="E3" s="62"/>
      <c r="F3" s="63"/>
      <c r="G3" s="52"/>
    </row>
    <row r="4" spans="1:7" ht="18.75" x14ac:dyDescent="0.2">
      <c r="A4" s="19">
        <v>46267</v>
      </c>
      <c r="B4" s="15">
        <v>46267</v>
      </c>
      <c r="C4" s="8">
        <v>0.3444444444444445</v>
      </c>
      <c r="D4" s="8">
        <v>0.70138888888888884</v>
      </c>
      <c r="E4" s="8">
        <f>(D4)-(C4)</f>
        <v>0.35694444444444434</v>
      </c>
      <c r="F4" s="10">
        <f>HOUR(E4)-1+MINUTE(E4)/60</f>
        <v>7.5666666666666664</v>
      </c>
      <c r="G4" s="52"/>
    </row>
    <row r="5" spans="1:7" ht="18.75" x14ac:dyDescent="0.2">
      <c r="A5" s="19">
        <v>46268</v>
      </c>
      <c r="B5" s="15">
        <v>46268</v>
      </c>
      <c r="C5" s="8">
        <v>0.33402777777777781</v>
      </c>
      <c r="D5" s="8">
        <v>0.49652777777777773</v>
      </c>
      <c r="E5" s="8">
        <f>(D5)-(C5)</f>
        <v>0.16249999999999992</v>
      </c>
      <c r="F5" s="10">
        <f>HOUR(E5)-1+MINUTE(E5)/60</f>
        <v>2.9</v>
      </c>
      <c r="G5" s="52"/>
    </row>
    <row r="6" spans="1:7" ht="18.75" x14ac:dyDescent="0.2">
      <c r="A6" s="19">
        <v>46269</v>
      </c>
      <c r="B6" s="15">
        <v>46269</v>
      </c>
      <c r="C6" s="42"/>
      <c r="D6" s="43"/>
      <c r="E6" s="43"/>
      <c r="F6" s="44"/>
      <c r="G6" s="52"/>
    </row>
    <row r="7" spans="1:7" ht="18.75" x14ac:dyDescent="0.2">
      <c r="A7" s="19">
        <v>46270</v>
      </c>
      <c r="B7" s="57">
        <v>46270</v>
      </c>
      <c r="C7" s="58"/>
      <c r="D7" s="58"/>
      <c r="E7" s="58"/>
      <c r="F7" s="59"/>
      <c r="G7" s="52"/>
    </row>
    <row r="8" spans="1:7" ht="18.75" x14ac:dyDescent="0.2">
      <c r="A8" s="19">
        <v>46271</v>
      </c>
      <c r="B8" s="15">
        <v>46271</v>
      </c>
      <c r="C8" s="8">
        <v>0.3263888888888889</v>
      </c>
      <c r="D8" s="8">
        <v>0.70138888888888884</v>
      </c>
      <c r="E8" s="8">
        <f>(D8)-(C8)</f>
        <v>0.37499999999999994</v>
      </c>
      <c r="F8" s="10">
        <f>HOUR(E8)-1+MINUTE(E8)/60</f>
        <v>8</v>
      </c>
      <c r="G8" s="52"/>
    </row>
    <row r="9" spans="1:7" ht="18.75" x14ac:dyDescent="0.2">
      <c r="A9" s="19">
        <v>46272</v>
      </c>
      <c r="B9" s="15">
        <v>46272</v>
      </c>
      <c r="C9" s="8">
        <v>0.32500000000000001</v>
      </c>
      <c r="D9" s="8">
        <v>0.6875</v>
      </c>
      <c r="E9" s="8">
        <f>(D9)-(C9)</f>
        <v>0.36249999999999999</v>
      </c>
      <c r="F9" s="10">
        <f>HOUR(E9)-1+MINUTE(E9)/60</f>
        <v>7.7</v>
      </c>
      <c r="G9" s="52"/>
    </row>
    <row r="10" spans="1:7" ht="18.75" x14ac:dyDescent="0.2">
      <c r="A10" s="19">
        <v>46273</v>
      </c>
      <c r="B10" s="15">
        <v>46273</v>
      </c>
      <c r="C10" s="8">
        <v>0.33958333333333335</v>
      </c>
      <c r="D10" s="8">
        <v>0.69097222222222221</v>
      </c>
      <c r="E10" s="8">
        <f>(D10)-(C10)</f>
        <v>0.35138888888888886</v>
      </c>
      <c r="F10" s="10">
        <f>HOUR(E10)-1+MINUTE(E10)/60</f>
        <v>7.4333333333333336</v>
      </c>
      <c r="G10" s="52"/>
    </row>
    <row r="11" spans="1:7" ht="18.75" x14ac:dyDescent="0.2">
      <c r="A11" s="19">
        <v>46274</v>
      </c>
      <c r="B11" s="15">
        <v>46274</v>
      </c>
      <c r="C11" s="8">
        <v>0.33888888888888885</v>
      </c>
      <c r="D11" s="8">
        <v>0.56805555555555554</v>
      </c>
      <c r="E11" s="8">
        <f>(D11)-(C11)</f>
        <v>0.22916666666666669</v>
      </c>
      <c r="F11" s="10">
        <f>HOUR(E11)-1+MINUTE(E11)/60</f>
        <v>4.5</v>
      </c>
      <c r="G11" s="52"/>
    </row>
    <row r="12" spans="1:7" ht="18.75" x14ac:dyDescent="0.2">
      <c r="A12" s="19">
        <v>46275</v>
      </c>
      <c r="B12" s="15">
        <v>46275</v>
      </c>
      <c r="C12" s="8">
        <v>0.32291666666666669</v>
      </c>
      <c r="D12" s="8">
        <v>0.47500000000000003</v>
      </c>
      <c r="E12" s="8">
        <f>(D12)-(C12)</f>
        <v>0.15208333333333335</v>
      </c>
      <c r="F12" s="10">
        <f>HOUR(E12)-1+MINUTE(E12)/60</f>
        <v>2.65</v>
      </c>
      <c r="G12" s="52"/>
    </row>
    <row r="13" spans="1:7" ht="18.75" x14ac:dyDescent="0.2">
      <c r="A13" s="19">
        <v>46276</v>
      </c>
      <c r="B13" s="15">
        <v>46276</v>
      </c>
      <c r="C13" s="42"/>
      <c r="D13" s="43"/>
      <c r="E13" s="43"/>
      <c r="F13" s="44"/>
      <c r="G13" s="52"/>
    </row>
    <row r="14" spans="1:7" ht="18.75" x14ac:dyDescent="0.2">
      <c r="A14" s="19">
        <v>46277</v>
      </c>
      <c r="B14" s="57">
        <v>46277</v>
      </c>
      <c r="C14" s="58"/>
      <c r="D14" s="58"/>
      <c r="E14" s="58"/>
      <c r="F14" s="59"/>
      <c r="G14" s="52"/>
    </row>
    <row r="15" spans="1:7" ht="18.75" x14ac:dyDescent="0.2">
      <c r="A15" s="19">
        <v>46278</v>
      </c>
      <c r="B15" s="15">
        <v>46278</v>
      </c>
      <c r="C15" s="8">
        <v>0.33402777777777781</v>
      </c>
      <c r="D15" s="8">
        <v>0.70138888888888884</v>
      </c>
      <c r="E15" s="8">
        <f>(D15)-(C15)</f>
        <v>0.36736111111111103</v>
      </c>
      <c r="F15" s="10">
        <f>HOUR(E15)-1+MINUTE(E15)/60</f>
        <v>7.8166666666666664</v>
      </c>
      <c r="G15" s="52"/>
    </row>
    <row r="16" spans="1:7" ht="18.75" x14ac:dyDescent="0.2">
      <c r="A16" s="19">
        <v>46279</v>
      </c>
      <c r="B16" s="15">
        <v>46279</v>
      </c>
      <c r="C16" s="8">
        <v>0.3347222222222222</v>
      </c>
      <c r="D16" s="8">
        <v>0.57777777777777783</v>
      </c>
      <c r="E16" s="8">
        <f>(D16)-(C16)</f>
        <v>0.24305555555555564</v>
      </c>
      <c r="F16" s="10">
        <f>HOUR(E16)-1+MINUTE(E16)/60</f>
        <v>4.833333333333333</v>
      </c>
      <c r="G16" s="52"/>
    </row>
    <row r="17" spans="1:7" ht="18.75" x14ac:dyDescent="0.2">
      <c r="A17" s="19">
        <v>46280</v>
      </c>
      <c r="B17" s="15">
        <v>46280</v>
      </c>
      <c r="C17" s="42"/>
      <c r="D17" s="43"/>
      <c r="E17" s="43"/>
      <c r="F17" s="44"/>
      <c r="G17" s="52"/>
    </row>
    <row r="18" spans="1:7" ht="18.75" x14ac:dyDescent="0.2">
      <c r="A18" s="19">
        <v>46281</v>
      </c>
      <c r="B18" s="15">
        <v>46281</v>
      </c>
      <c r="C18" s="8">
        <v>0.34097222222222223</v>
      </c>
      <c r="D18" s="8">
        <v>0.69374999999999998</v>
      </c>
      <c r="E18" s="8">
        <f>(D18)-(C18)</f>
        <v>0.35277777777777775</v>
      </c>
      <c r="F18" s="10">
        <f>HOUR(E18)-1+MINUTE(E18)/60</f>
        <v>7.4666666666666668</v>
      </c>
      <c r="G18" s="52"/>
    </row>
    <row r="19" spans="1:7" ht="18.75" x14ac:dyDescent="0.2">
      <c r="A19" s="19">
        <v>46282</v>
      </c>
      <c r="B19" s="15">
        <v>46282</v>
      </c>
      <c r="C19" s="8">
        <v>0.32708333333333334</v>
      </c>
      <c r="D19" s="8">
        <v>0.46666666666666662</v>
      </c>
      <c r="E19" s="8">
        <f>(D19)-(C19)</f>
        <v>0.13958333333333328</v>
      </c>
      <c r="F19" s="10">
        <f>HOUR(E19)-1+MINUTE(E19)/60</f>
        <v>2.35</v>
      </c>
      <c r="G19" s="52"/>
    </row>
    <row r="20" spans="1:7" ht="18.75" x14ac:dyDescent="0.2">
      <c r="A20" s="19">
        <v>46283</v>
      </c>
      <c r="B20" s="15">
        <v>46283</v>
      </c>
      <c r="C20" s="42"/>
      <c r="D20" s="43"/>
      <c r="E20" s="43"/>
      <c r="F20" s="44"/>
      <c r="G20" s="52"/>
    </row>
    <row r="21" spans="1:7" ht="18.75" x14ac:dyDescent="0.2">
      <c r="A21" s="19">
        <v>46284</v>
      </c>
      <c r="B21" s="57">
        <v>46284</v>
      </c>
      <c r="C21" s="58"/>
      <c r="D21" s="58"/>
      <c r="E21" s="58"/>
      <c r="F21" s="59"/>
      <c r="G21" s="52"/>
    </row>
    <row r="22" spans="1:7" ht="18.75" x14ac:dyDescent="0.2">
      <c r="A22" s="19">
        <v>46285</v>
      </c>
      <c r="B22" s="15">
        <v>46285</v>
      </c>
      <c r="C22" s="8">
        <v>0.33124999999999999</v>
      </c>
      <c r="D22" s="8">
        <v>0.62361111111111112</v>
      </c>
      <c r="E22" s="8">
        <f>(D22)-(C22)</f>
        <v>0.29236111111111113</v>
      </c>
      <c r="F22" s="10">
        <f>HOUR(E22)-1+MINUTE(E22)/60</f>
        <v>6.0166666666666666</v>
      </c>
      <c r="G22" s="52"/>
    </row>
    <row r="23" spans="1:7" ht="18.75" x14ac:dyDescent="0.2">
      <c r="A23" s="19">
        <v>46286</v>
      </c>
      <c r="B23" s="15">
        <v>46286</v>
      </c>
      <c r="C23" s="42"/>
      <c r="D23" s="43"/>
      <c r="E23" s="43"/>
      <c r="F23" s="44"/>
      <c r="G23" s="52"/>
    </row>
    <row r="24" spans="1:7" ht="18.75" x14ac:dyDescent="0.2">
      <c r="A24" s="19">
        <v>46287</v>
      </c>
      <c r="B24" s="15">
        <v>46287</v>
      </c>
      <c r="C24" s="8">
        <v>0.33888888888888885</v>
      </c>
      <c r="D24" s="8">
        <v>0.58611111111111114</v>
      </c>
      <c r="E24" s="8">
        <f>(D24)-(C24)</f>
        <v>0.24722222222222229</v>
      </c>
      <c r="F24" s="10">
        <f>HOUR(E24)-1+MINUTE(E24)/60</f>
        <v>4.9333333333333336</v>
      </c>
      <c r="G24" s="52"/>
    </row>
    <row r="25" spans="1:7" ht="18.75" x14ac:dyDescent="0.2">
      <c r="A25" s="19">
        <v>46288</v>
      </c>
      <c r="B25" s="15">
        <v>46288</v>
      </c>
      <c r="C25" s="8">
        <v>0.33680555555555558</v>
      </c>
      <c r="D25" s="8">
        <v>0.67083333333333339</v>
      </c>
      <c r="E25" s="8">
        <f>(D25)-(C25)</f>
        <v>0.33402777777777781</v>
      </c>
      <c r="F25" s="10">
        <f>HOUR(E25)-1+MINUTE(E25)/60</f>
        <v>7.0166666666666666</v>
      </c>
      <c r="G25" s="52"/>
    </row>
    <row r="26" spans="1:7" ht="18.75" x14ac:dyDescent="0.2">
      <c r="A26" s="19">
        <v>46289</v>
      </c>
      <c r="B26" s="15">
        <v>46289</v>
      </c>
      <c r="C26" s="42"/>
      <c r="D26" s="43"/>
      <c r="E26" s="43"/>
      <c r="F26" s="44"/>
      <c r="G26" s="52"/>
    </row>
    <row r="27" spans="1:7" ht="18.75" x14ac:dyDescent="0.2">
      <c r="A27" s="19">
        <v>46290</v>
      </c>
      <c r="B27" s="15">
        <v>46290</v>
      </c>
      <c r="C27" s="42"/>
      <c r="D27" s="43"/>
      <c r="E27" s="43"/>
      <c r="F27" s="44"/>
      <c r="G27" s="52"/>
    </row>
    <row r="28" spans="1:7" ht="18.75" x14ac:dyDescent="0.2">
      <c r="A28" s="19">
        <v>46291</v>
      </c>
      <c r="B28" s="57">
        <v>46291</v>
      </c>
      <c r="C28" s="58"/>
      <c r="D28" s="58"/>
      <c r="E28" s="58"/>
      <c r="F28" s="59"/>
      <c r="G28" s="52"/>
    </row>
    <row r="29" spans="1:7" ht="18.75" x14ac:dyDescent="0.2">
      <c r="A29" s="19">
        <v>46292</v>
      </c>
      <c r="B29" s="15">
        <v>46292</v>
      </c>
      <c r="C29" s="8">
        <v>0.33611111111111108</v>
      </c>
      <c r="D29" s="8">
        <v>0.61875000000000002</v>
      </c>
      <c r="E29" s="8">
        <f>(D29)-(C29)</f>
        <v>0.28263888888888894</v>
      </c>
      <c r="F29" s="10">
        <f>HOUR(E29)-1+MINUTE(E29)/60</f>
        <v>5.7833333333333332</v>
      </c>
      <c r="G29" s="52"/>
    </row>
    <row r="30" spans="1:7" ht="18.75" x14ac:dyDescent="0.2">
      <c r="A30" s="19">
        <v>46293</v>
      </c>
      <c r="B30" s="15">
        <v>46293</v>
      </c>
      <c r="C30" s="8">
        <v>0.33402777777777781</v>
      </c>
      <c r="D30" s="8">
        <v>0.41666666666666669</v>
      </c>
      <c r="E30" s="8">
        <f>(D30)-(C30)</f>
        <v>8.2638888888888873E-2</v>
      </c>
      <c r="F30" s="10">
        <f>HOUR(E30)-1+MINUTE(E30)/60</f>
        <v>0.98333333333333328</v>
      </c>
      <c r="G30" s="52"/>
    </row>
    <row r="31" spans="1:7" ht="18.75" x14ac:dyDescent="0.2">
      <c r="A31" s="19">
        <v>46294</v>
      </c>
      <c r="B31" s="15">
        <v>46294</v>
      </c>
      <c r="C31" s="45"/>
      <c r="D31" s="46"/>
      <c r="E31" s="46"/>
      <c r="F31" s="47"/>
      <c r="G31" s="52"/>
    </row>
    <row r="32" spans="1:7" ht="19.5" thickBot="1" x14ac:dyDescent="0.25">
      <c r="A32" s="20">
        <v>46295</v>
      </c>
      <c r="B32" s="26">
        <v>46295</v>
      </c>
      <c r="C32" s="48"/>
      <c r="D32" s="49"/>
      <c r="E32" s="49"/>
      <c r="F32" s="50"/>
      <c r="G32" s="53"/>
    </row>
    <row r="33" spans="1:7" ht="19.5" thickBot="1" x14ac:dyDescent="0.25">
      <c r="A33" s="3"/>
      <c r="B33" s="3"/>
      <c r="C33" s="3"/>
      <c r="D33" s="3"/>
      <c r="E33" s="3"/>
      <c r="F33" s="4"/>
      <c r="G33" s="3"/>
    </row>
    <row r="34" spans="1:7" ht="24" thickBot="1" x14ac:dyDescent="0.25">
      <c r="A34" s="3"/>
      <c r="B34" s="3"/>
      <c r="C34" s="3"/>
      <c r="D34" s="3"/>
      <c r="E34" s="6" t="s">
        <v>56</v>
      </c>
      <c r="F34" s="7">
        <f>SUM(F3:F32)</f>
        <v>87.95</v>
      </c>
      <c r="G34" s="3"/>
    </row>
    <row r="35" spans="1:7" ht="19.5" thickBot="1" x14ac:dyDescent="0.25">
      <c r="A35" s="3"/>
      <c r="B35" s="3"/>
      <c r="C35" s="3"/>
      <c r="D35" s="3"/>
      <c r="E35" s="3"/>
      <c r="F35" s="3"/>
      <c r="G35" s="3"/>
    </row>
    <row r="36" spans="1:7" ht="23.25" x14ac:dyDescent="0.2">
      <c r="A36" s="3"/>
      <c r="B36" s="3"/>
      <c r="C36" s="3"/>
      <c r="D36" s="3"/>
      <c r="E36" s="22" t="s">
        <v>57</v>
      </c>
      <c r="F36" s="23">
        <f>COUNT(F3:F32)</f>
        <v>16</v>
      </c>
      <c r="G36" s="3"/>
    </row>
    <row r="37" spans="1:7" ht="24" thickBot="1" x14ac:dyDescent="0.25">
      <c r="A37" s="3"/>
      <c r="B37" s="3"/>
      <c r="C37" s="3"/>
      <c r="D37" s="3"/>
      <c r="E37" s="24" t="s">
        <v>58</v>
      </c>
      <c r="F37" s="25">
        <f>30-F36-4</f>
        <v>10</v>
      </c>
      <c r="G37" s="3"/>
    </row>
  </sheetData>
  <mergeCells count="16">
    <mergeCell ref="C32:F32"/>
    <mergeCell ref="B1:G1"/>
    <mergeCell ref="G2:G32"/>
    <mergeCell ref="B7:F7"/>
    <mergeCell ref="B14:F14"/>
    <mergeCell ref="B21:F21"/>
    <mergeCell ref="B28:F28"/>
    <mergeCell ref="C3:F3"/>
    <mergeCell ref="C6:F6"/>
    <mergeCell ref="C13:F13"/>
    <mergeCell ref="C17:F17"/>
    <mergeCell ref="C20:F20"/>
    <mergeCell ref="C23:F23"/>
    <mergeCell ref="C26:F26"/>
    <mergeCell ref="C27:F27"/>
    <mergeCell ref="C31:F3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77A9FB-5BE4-453D-A14B-0F2543A133A5}">
  <dimension ref="A1:G37"/>
  <sheetViews>
    <sheetView rightToLeft="1" topLeftCell="A4" workbookViewId="0">
      <selection activeCell="I13" sqref="I13"/>
    </sheetView>
  </sheetViews>
  <sheetFormatPr defaultRowHeight="14.25" x14ac:dyDescent="0.2"/>
  <cols>
    <col min="1" max="1" width="9.75" bestFit="1" customWidth="1"/>
    <col min="2" max="2" width="11.625" bestFit="1" customWidth="1"/>
    <col min="3" max="3" width="12.625" bestFit="1" customWidth="1"/>
    <col min="4" max="4" width="12.375" bestFit="1" customWidth="1"/>
    <col min="5" max="5" width="16.875" bestFit="1" customWidth="1"/>
    <col min="6" max="6" width="13.125" bestFit="1" customWidth="1"/>
    <col min="7" max="7" width="7.875" bestFit="1" customWidth="1"/>
  </cols>
  <sheetData>
    <row r="1" spans="1:7" ht="34.5" thickBot="1" x14ac:dyDescent="0.25">
      <c r="A1" s="5" t="s">
        <v>49</v>
      </c>
      <c r="B1" s="54" t="s">
        <v>15</v>
      </c>
      <c r="C1" s="55"/>
      <c r="D1" s="55"/>
      <c r="E1" s="55"/>
      <c r="F1" s="55"/>
      <c r="G1" s="56"/>
    </row>
    <row r="2" spans="1:7" ht="19.5" thickBot="1" x14ac:dyDescent="0.25">
      <c r="A2" s="5" t="s">
        <v>50</v>
      </c>
      <c r="B2" s="21" t="s">
        <v>51</v>
      </c>
      <c r="C2" s="16" t="s">
        <v>52</v>
      </c>
      <c r="D2" s="16" t="s">
        <v>53</v>
      </c>
      <c r="E2" s="16" t="s">
        <v>54</v>
      </c>
      <c r="F2" s="17" t="s">
        <v>55</v>
      </c>
      <c r="G2" s="51">
        <v>46266</v>
      </c>
    </row>
    <row r="3" spans="1:7" ht="18.75" x14ac:dyDescent="0.2">
      <c r="A3" s="18">
        <v>46266</v>
      </c>
      <c r="B3" s="14">
        <v>46266</v>
      </c>
      <c r="C3" s="64" t="s">
        <v>67</v>
      </c>
      <c r="D3" s="65"/>
      <c r="E3" s="65"/>
      <c r="F3" s="66"/>
      <c r="G3" s="52"/>
    </row>
    <row r="4" spans="1:7" ht="18.75" x14ac:dyDescent="0.2">
      <c r="A4" s="19">
        <v>46267</v>
      </c>
      <c r="B4" s="15">
        <v>46267</v>
      </c>
      <c r="C4" s="67"/>
      <c r="D4" s="68"/>
      <c r="E4" s="68"/>
      <c r="F4" s="69"/>
      <c r="G4" s="52"/>
    </row>
    <row r="5" spans="1:7" ht="18.75" x14ac:dyDescent="0.2">
      <c r="A5" s="19">
        <v>46268</v>
      </c>
      <c r="B5" s="15">
        <v>46268</v>
      </c>
      <c r="C5" s="67"/>
      <c r="D5" s="68"/>
      <c r="E5" s="68"/>
      <c r="F5" s="69"/>
      <c r="G5" s="52"/>
    </row>
    <row r="6" spans="1:7" ht="18.75" x14ac:dyDescent="0.2">
      <c r="A6" s="19">
        <v>46269</v>
      </c>
      <c r="B6" s="15">
        <v>46269</v>
      </c>
      <c r="C6" s="70"/>
      <c r="D6" s="71"/>
      <c r="E6" s="71"/>
      <c r="F6" s="72"/>
      <c r="G6" s="52"/>
    </row>
    <row r="7" spans="1:7" ht="18.75" x14ac:dyDescent="0.2">
      <c r="A7" s="19">
        <v>46270</v>
      </c>
      <c r="B7" s="57">
        <v>46270</v>
      </c>
      <c r="C7" s="58"/>
      <c r="D7" s="58"/>
      <c r="E7" s="58"/>
      <c r="F7" s="59"/>
      <c r="G7" s="52"/>
    </row>
    <row r="8" spans="1:7" ht="18.75" x14ac:dyDescent="0.2">
      <c r="A8" s="19">
        <v>46271</v>
      </c>
      <c r="B8" s="15">
        <v>46271</v>
      </c>
      <c r="C8" s="73" t="s">
        <v>67</v>
      </c>
      <c r="D8" s="74"/>
      <c r="E8" s="74"/>
      <c r="F8" s="75"/>
      <c r="G8" s="52"/>
    </row>
    <row r="9" spans="1:7" ht="18.75" x14ac:dyDescent="0.2">
      <c r="A9" s="19">
        <v>46272</v>
      </c>
      <c r="B9" s="15">
        <v>46272</v>
      </c>
      <c r="C9" s="67"/>
      <c r="D9" s="68"/>
      <c r="E9" s="68"/>
      <c r="F9" s="69"/>
      <c r="G9" s="52"/>
    </row>
    <row r="10" spans="1:7" ht="18.75" x14ac:dyDescent="0.2">
      <c r="A10" s="19">
        <v>46273</v>
      </c>
      <c r="B10" s="15">
        <v>46273</v>
      </c>
      <c r="C10" s="67"/>
      <c r="D10" s="68"/>
      <c r="E10" s="68"/>
      <c r="F10" s="69"/>
      <c r="G10" s="52"/>
    </row>
    <row r="11" spans="1:7" ht="18.75" x14ac:dyDescent="0.2">
      <c r="A11" s="19">
        <v>46274</v>
      </c>
      <c r="B11" s="15">
        <v>46274</v>
      </c>
      <c r="C11" s="67"/>
      <c r="D11" s="68"/>
      <c r="E11" s="68"/>
      <c r="F11" s="69"/>
      <c r="G11" s="52"/>
    </row>
    <row r="12" spans="1:7" ht="18.75" x14ac:dyDescent="0.2">
      <c r="A12" s="19">
        <v>46275</v>
      </c>
      <c r="B12" s="15">
        <v>46275</v>
      </c>
      <c r="C12" s="67"/>
      <c r="D12" s="68"/>
      <c r="E12" s="68"/>
      <c r="F12" s="69"/>
      <c r="G12" s="52"/>
    </row>
    <row r="13" spans="1:7" ht="18.75" x14ac:dyDescent="0.2">
      <c r="A13" s="19">
        <v>46276</v>
      </c>
      <c r="B13" s="15">
        <v>46276</v>
      </c>
      <c r="C13" s="70"/>
      <c r="D13" s="71"/>
      <c r="E13" s="71"/>
      <c r="F13" s="72"/>
      <c r="G13" s="52"/>
    </row>
    <row r="14" spans="1:7" ht="18.75" x14ac:dyDescent="0.2">
      <c r="A14" s="19">
        <v>46277</v>
      </c>
      <c r="B14" s="57">
        <v>46277</v>
      </c>
      <c r="C14" s="58"/>
      <c r="D14" s="58"/>
      <c r="E14" s="58"/>
      <c r="F14" s="59"/>
      <c r="G14" s="52"/>
    </row>
    <row r="15" spans="1:7" ht="18.75" x14ac:dyDescent="0.2">
      <c r="A15" s="19">
        <v>46278</v>
      </c>
      <c r="B15" s="15">
        <v>46278</v>
      </c>
      <c r="C15" s="73" t="s">
        <v>67</v>
      </c>
      <c r="D15" s="74"/>
      <c r="E15" s="74"/>
      <c r="F15" s="75"/>
      <c r="G15" s="52"/>
    </row>
    <row r="16" spans="1:7" ht="18.75" x14ac:dyDescent="0.2">
      <c r="A16" s="19">
        <v>46279</v>
      </c>
      <c r="B16" s="15">
        <v>46279</v>
      </c>
      <c r="C16" s="67"/>
      <c r="D16" s="68"/>
      <c r="E16" s="68"/>
      <c r="F16" s="69"/>
      <c r="G16" s="52"/>
    </row>
    <row r="17" spans="1:7" ht="18.75" x14ac:dyDescent="0.2">
      <c r="A17" s="19">
        <v>46280</v>
      </c>
      <c r="B17" s="15">
        <v>46280</v>
      </c>
      <c r="C17" s="67"/>
      <c r="D17" s="68"/>
      <c r="E17" s="68"/>
      <c r="F17" s="69"/>
      <c r="G17" s="52"/>
    </row>
    <row r="18" spans="1:7" ht="18.75" x14ac:dyDescent="0.2">
      <c r="A18" s="19">
        <v>46281</v>
      </c>
      <c r="B18" s="15">
        <v>46281</v>
      </c>
      <c r="C18" s="67"/>
      <c r="D18" s="68"/>
      <c r="E18" s="68"/>
      <c r="F18" s="69"/>
      <c r="G18" s="52"/>
    </row>
    <row r="19" spans="1:7" ht="18.75" x14ac:dyDescent="0.2">
      <c r="A19" s="19">
        <v>46282</v>
      </c>
      <c r="B19" s="15">
        <v>46282</v>
      </c>
      <c r="C19" s="67"/>
      <c r="D19" s="68"/>
      <c r="E19" s="68"/>
      <c r="F19" s="69"/>
      <c r="G19" s="52"/>
    </row>
    <row r="20" spans="1:7" ht="18.75" x14ac:dyDescent="0.2">
      <c r="A20" s="19">
        <v>46283</v>
      </c>
      <c r="B20" s="15">
        <v>46283</v>
      </c>
      <c r="C20" s="70"/>
      <c r="D20" s="71"/>
      <c r="E20" s="71"/>
      <c r="F20" s="72"/>
      <c r="G20" s="52"/>
    </row>
    <row r="21" spans="1:7" ht="18.75" x14ac:dyDescent="0.2">
      <c r="A21" s="19">
        <v>46284</v>
      </c>
      <c r="B21" s="57">
        <v>46284</v>
      </c>
      <c r="C21" s="58"/>
      <c r="D21" s="58"/>
      <c r="E21" s="58"/>
      <c r="F21" s="59"/>
      <c r="G21" s="52"/>
    </row>
    <row r="22" spans="1:7" ht="18.75" x14ac:dyDescent="0.2">
      <c r="A22" s="19">
        <v>46285</v>
      </c>
      <c r="B22" s="15">
        <v>46285</v>
      </c>
      <c r="C22" s="73" t="s">
        <v>67</v>
      </c>
      <c r="D22" s="74"/>
      <c r="E22" s="74"/>
      <c r="F22" s="75"/>
      <c r="G22" s="52"/>
    </row>
    <row r="23" spans="1:7" ht="18.75" x14ac:dyDescent="0.2">
      <c r="A23" s="19">
        <v>46286</v>
      </c>
      <c r="B23" s="15">
        <v>46286</v>
      </c>
      <c r="C23" s="67"/>
      <c r="D23" s="68"/>
      <c r="E23" s="68"/>
      <c r="F23" s="69"/>
      <c r="G23" s="52"/>
    </row>
    <row r="24" spans="1:7" ht="18.75" x14ac:dyDescent="0.2">
      <c r="A24" s="19">
        <v>46287</v>
      </c>
      <c r="B24" s="15">
        <v>46287</v>
      </c>
      <c r="C24" s="67"/>
      <c r="D24" s="68"/>
      <c r="E24" s="68"/>
      <c r="F24" s="69"/>
      <c r="G24" s="52"/>
    </row>
    <row r="25" spans="1:7" ht="18.75" x14ac:dyDescent="0.2">
      <c r="A25" s="19">
        <v>46288</v>
      </c>
      <c r="B25" s="15">
        <v>46288</v>
      </c>
      <c r="C25" s="67"/>
      <c r="D25" s="68"/>
      <c r="E25" s="68"/>
      <c r="F25" s="69"/>
      <c r="G25" s="52"/>
    </row>
    <row r="26" spans="1:7" ht="18.75" x14ac:dyDescent="0.2">
      <c r="A26" s="19">
        <v>46289</v>
      </c>
      <c r="B26" s="15">
        <v>46289</v>
      </c>
      <c r="C26" s="67"/>
      <c r="D26" s="68"/>
      <c r="E26" s="68"/>
      <c r="F26" s="69"/>
      <c r="G26" s="52"/>
    </row>
    <row r="27" spans="1:7" ht="18.75" x14ac:dyDescent="0.2">
      <c r="A27" s="19">
        <v>46290</v>
      </c>
      <c r="B27" s="15">
        <v>46290</v>
      </c>
      <c r="C27" s="70"/>
      <c r="D27" s="71"/>
      <c r="E27" s="71"/>
      <c r="F27" s="72"/>
      <c r="G27" s="52"/>
    </row>
    <row r="28" spans="1:7" ht="18.75" x14ac:dyDescent="0.2">
      <c r="A28" s="19">
        <v>46291</v>
      </c>
      <c r="B28" s="57">
        <v>46291</v>
      </c>
      <c r="C28" s="58"/>
      <c r="D28" s="58"/>
      <c r="E28" s="58"/>
      <c r="F28" s="59"/>
      <c r="G28" s="52"/>
    </row>
    <row r="29" spans="1:7" ht="18.75" x14ac:dyDescent="0.2">
      <c r="A29" s="19">
        <v>46292</v>
      </c>
      <c r="B29" s="15">
        <v>46292</v>
      </c>
      <c r="C29" s="73" t="s">
        <v>67</v>
      </c>
      <c r="D29" s="74"/>
      <c r="E29" s="74"/>
      <c r="F29" s="75"/>
      <c r="G29" s="52"/>
    </row>
    <row r="30" spans="1:7" ht="18.75" x14ac:dyDescent="0.2">
      <c r="A30" s="19">
        <v>46293</v>
      </c>
      <c r="B30" s="15">
        <v>46293</v>
      </c>
      <c r="C30" s="67"/>
      <c r="D30" s="68"/>
      <c r="E30" s="68"/>
      <c r="F30" s="69"/>
      <c r="G30" s="52"/>
    </row>
    <row r="31" spans="1:7" ht="18.75" x14ac:dyDescent="0.2">
      <c r="A31" s="19">
        <v>46294</v>
      </c>
      <c r="B31" s="15">
        <v>46294</v>
      </c>
      <c r="C31" s="67"/>
      <c r="D31" s="68"/>
      <c r="E31" s="68"/>
      <c r="F31" s="69"/>
      <c r="G31" s="52"/>
    </row>
    <row r="32" spans="1:7" ht="19.5" thickBot="1" x14ac:dyDescent="0.25">
      <c r="A32" s="20">
        <v>46295</v>
      </c>
      <c r="B32" s="26">
        <v>46295</v>
      </c>
      <c r="C32" s="76"/>
      <c r="D32" s="77"/>
      <c r="E32" s="77"/>
      <c r="F32" s="78"/>
      <c r="G32" s="53"/>
    </row>
    <row r="33" spans="1:7" ht="19.5" thickBot="1" x14ac:dyDescent="0.25">
      <c r="A33" s="3"/>
      <c r="B33" s="3"/>
      <c r="C33" s="3"/>
      <c r="D33" s="3"/>
      <c r="E33" s="3"/>
      <c r="F33" s="4"/>
      <c r="G33" s="3"/>
    </row>
    <row r="34" spans="1:7" ht="24" thickBot="1" x14ac:dyDescent="0.25">
      <c r="A34" s="3"/>
      <c r="B34" s="3"/>
      <c r="C34" s="3"/>
      <c r="D34" s="3"/>
      <c r="E34" s="6" t="s">
        <v>56</v>
      </c>
      <c r="F34" s="7">
        <f>SUM(F3:F32)</f>
        <v>0</v>
      </c>
      <c r="G34" s="3"/>
    </row>
    <row r="35" spans="1:7" ht="19.5" thickBot="1" x14ac:dyDescent="0.25">
      <c r="A35" s="3"/>
      <c r="B35" s="3"/>
      <c r="C35" s="3"/>
      <c r="D35" s="3"/>
      <c r="E35" s="3"/>
      <c r="F35" s="3"/>
      <c r="G35" s="3"/>
    </row>
    <row r="36" spans="1:7" ht="23.25" x14ac:dyDescent="0.2">
      <c r="A36" s="3"/>
      <c r="B36" s="3"/>
      <c r="C36" s="3"/>
      <c r="D36" s="3"/>
      <c r="E36" s="22" t="s">
        <v>57</v>
      </c>
      <c r="F36" s="23">
        <f>COUNT(F3:F32)</f>
        <v>0</v>
      </c>
      <c r="G36" s="3"/>
    </row>
    <row r="37" spans="1:7" ht="24" thickBot="1" x14ac:dyDescent="0.25">
      <c r="A37" s="3"/>
      <c r="B37" s="3"/>
      <c r="C37" s="3"/>
      <c r="D37" s="3"/>
      <c r="E37" s="24" t="s">
        <v>58</v>
      </c>
      <c r="F37" s="25">
        <f>30-F36-4</f>
        <v>26</v>
      </c>
      <c r="G37" s="3"/>
    </row>
  </sheetData>
  <mergeCells count="11">
    <mergeCell ref="B1:G1"/>
    <mergeCell ref="G2:G32"/>
    <mergeCell ref="B7:F7"/>
    <mergeCell ref="B14:F14"/>
    <mergeCell ref="B21:F21"/>
    <mergeCell ref="B28:F28"/>
    <mergeCell ref="C3:F6"/>
    <mergeCell ref="C29:F32"/>
    <mergeCell ref="C22:F27"/>
    <mergeCell ref="C15:F20"/>
    <mergeCell ref="C8:F1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12155-2B5D-4FCE-82D2-2D2A7C30C850}">
  <dimension ref="A1:G37"/>
  <sheetViews>
    <sheetView rightToLeft="1" workbookViewId="0"/>
  </sheetViews>
  <sheetFormatPr defaultRowHeight="14.25" x14ac:dyDescent="0.2"/>
  <cols>
    <col min="1" max="1" width="9.75" bestFit="1" customWidth="1"/>
    <col min="2" max="2" width="11.625" bestFit="1" customWidth="1"/>
    <col min="3" max="3" width="12.625" bestFit="1" customWidth="1"/>
    <col min="4" max="4" width="12.375" bestFit="1" customWidth="1"/>
    <col min="5" max="5" width="16.875" bestFit="1" customWidth="1"/>
    <col min="6" max="6" width="13.125" bestFit="1" customWidth="1"/>
    <col min="7" max="7" width="7.875" bestFit="1" customWidth="1"/>
  </cols>
  <sheetData>
    <row r="1" spans="1:7" ht="34.5" thickBot="1" x14ac:dyDescent="0.25">
      <c r="A1" s="5" t="s">
        <v>49</v>
      </c>
      <c r="B1" s="54" t="s">
        <v>31</v>
      </c>
      <c r="C1" s="55"/>
      <c r="D1" s="55"/>
      <c r="E1" s="55"/>
      <c r="F1" s="55"/>
      <c r="G1" s="56"/>
    </row>
    <row r="2" spans="1:7" ht="19.5" thickBot="1" x14ac:dyDescent="0.25">
      <c r="A2" s="5" t="s">
        <v>50</v>
      </c>
      <c r="B2" s="21" t="s">
        <v>51</v>
      </c>
      <c r="C2" s="16" t="s">
        <v>52</v>
      </c>
      <c r="D2" s="16" t="s">
        <v>53</v>
      </c>
      <c r="E2" s="16" t="s">
        <v>54</v>
      </c>
      <c r="F2" s="17" t="s">
        <v>55</v>
      </c>
      <c r="G2" s="51">
        <v>46266</v>
      </c>
    </row>
    <row r="3" spans="1:7" ht="18.75" x14ac:dyDescent="0.2">
      <c r="A3" s="18">
        <v>46266</v>
      </c>
      <c r="B3" s="14">
        <v>46266</v>
      </c>
      <c r="C3" s="12">
        <v>0.3125</v>
      </c>
      <c r="D3" s="12">
        <v>0.70138888888888884</v>
      </c>
      <c r="E3" s="12">
        <f>(D3)-(C3)</f>
        <v>0.38888888888888884</v>
      </c>
      <c r="F3" s="13">
        <f>HOUR(E3)-1+MINUTE(E3)/60</f>
        <v>8.3333333333333339</v>
      </c>
      <c r="G3" s="52"/>
    </row>
    <row r="4" spans="1:7" ht="18.75" x14ac:dyDescent="0.2">
      <c r="A4" s="19">
        <v>46267</v>
      </c>
      <c r="B4" s="15">
        <v>46267</v>
      </c>
      <c r="C4" s="8">
        <v>0.33055555555555555</v>
      </c>
      <c r="D4" s="8">
        <v>0.69513888888888886</v>
      </c>
      <c r="E4" s="8">
        <f>(D4)-(C4)</f>
        <v>0.36458333333333331</v>
      </c>
      <c r="F4" s="10">
        <f>HOUR(E4)-1+MINUTE(E4)/60</f>
        <v>7.75</v>
      </c>
      <c r="G4" s="52"/>
    </row>
    <row r="5" spans="1:7" ht="18.75" x14ac:dyDescent="0.2">
      <c r="A5" s="19">
        <v>46268</v>
      </c>
      <c r="B5" s="15">
        <v>46268</v>
      </c>
      <c r="C5" s="8">
        <v>0.3347222222222222</v>
      </c>
      <c r="D5" s="8">
        <v>0.68680555555555556</v>
      </c>
      <c r="E5" s="8">
        <f>(D5)-(C5)</f>
        <v>0.35208333333333336</v>
      </c>
      <c r="F5" s="10">
        <f>HOUR(E5)-1+MINUTE(E5)/60</f>
        <v>7.45</v>
      </c>
      <c r="G5" s="52"/>
    </row>
    <row r="6" spans="1:7" ht="18.75" x14ac:dyDescent="0.2">
      <c r="A6" s="19">
        <v>46269</v>
      </c>
      <c r="B6" s="15">
        <v>46269</v>
      </c>
      <c r="C6" s="8">
        <v>0.33958333333333335</v>
      </c>
      <c r="D6" s="8">
        <v>0.5756944444444444</v>
      </c>
      <c r="E6" s="8">
        <f>(D6)-(C6)</f>
        <v>0.23611111111111105</v>
      </c>
      <c r="F6" s="10">
        <f>HOUR(E6)-1.5+MINUTE(E6)/60</f>
        <v>4.166666666666667</v>
      </c>
      <c r="G6" s="52"/>
    </row>
    <row r="7" spans="1:7" ht="18.75" x14ac:dyDescent="0.2">
      <c r="A7" s="19">
        <v>46270</v>
      </c>
      <c r="B7" s="57">
        <v>46270</v>
      </c>
      <c r="C7" s="58"/>
      <c r="D7" s="58"/>
      <c r="E7" s="58"/>
      <c r="F7" s="59"/>
      <c r="G7" s="52"/>
    </row>
    <row r="8" spans="1:7" ht="18.75" x14ac:dyDescent="0.2">
      <c r="A8" s="19">
        <v>46271</v>
      </c>
      <c r="B8" s="15">
        <v>46271</v>
      </c>
      <c r="C8" s="8">
        <v>0.34097222222222223</v>
      </c>
      <c r="D8" s="8">
        <v>0.70138888888888884</v>
      </c>
      <c r="E8" s="8">
        <f t="shared" ref="E8:E13" si="0">(D8)-(C8)</f>
        <v>0.36041666666666661</v>
      </c>
      <c r="F8" s="10">
        <f>HOUR(E8)-1+MINUTE(E8)/60</f>
        <v>7.65</v>
      </c>
      <c r="G8" s="52"/>
    </row>
    <row r="9" spans="1:7" ht="18.75" x14ac:dyDescent="0.2">
      <c r="A9" s="19">
        <v>46272</v>
      </c>
      <c r="B9" s="15">
        <v>46272</v>
      </c>
      <c r="C9" s="8">
        <v>0.33194444444444443</v>
      </c>
      <c r="D9" s="8">
        <v>0.70138888888888884</v>
      </c>
      <c r="E9" s="8">
        <f t="shared" si="0"/>
        <v>0.36944444444444441</v>
      </c>
      <c r="F9" s="10">
        <f>HOUR(E9)-1+MINUTE(E9)/60</f>
        <v>7.8666666666666671</v>
      </c>
      <c r="G9" s="52"/>
    </row>
    <row r="10" spans="1:7" ht="18.75" x14ac:dyDescent="0.2">
      <c r="A10" s="19">
        <v>46273</v>
      </c>
      <c r="B10" s="15">
        <v>46273</v>
      </c>
      <c r="C10" s="8">
        <v>0.33333333333333331</v>
      </c>
      <c r="D10" s="8">
        <v>0.70138888888888884</v>
      </c>
      <c r="E10" s="8">
        <f t="shared" si="0"/>
        <v>0.36805555555555552</v>
      </c>
      <c r="F10" s="10">
        <f>HOUR(E10)-1+MINUTE(E10)/60</f>
        <v>7.833333333333333</v>
      </c>
      <c r="G10" s="52"/>
    </row>
    <row r="11" spans="1:7" ht="18.75" x14ac:dyDescent="0.2">
      <c r="A11" s="19">
        <v>46274</v>
      </c>
      <c r="B11" s="15">
        <v>46274</v>
      </c>
      <c r="C11" s="8">
        <v>0.33124999999999999</v>
      </c>
      <c r="D11" s="8">
        <v>0.70138888888888884</v>
      </c>
      <c r="E11" s="8">
        <f t="shared" si="0"/>
        <v>0.37013888888888885</v>
      </c>
      <c r="F11" s="10">
        <f>HOUR(E11)-1+MINUTE(E11)/60</f>
        <v>7.8833333333333329</v>
      </c>
      <c r="G11" s="52"/>
    </row>
    <row r="12" spans="1:7" ht="18.75" x14ac:dyDescent="0.2">
      <c r="A12" s="19">
        <v>46275</v>
      </c>
      <c r="B12" s="15">
        <v>46275</v>
      </c>
      <c r="C12" s="8">
        <v>0.3347222222222222</v>
      </c>
      <c r="D12" s="8">
        <v>0.70138888888888884</v>
      </c>
      <c r="E12" s="8">
        <f t="shared" si="0"/>
        <v>0.36666666666666664</v>
      </c>
      <c r="F12" s="10">
        <f>HOUR(E12)-1+MINUTE(E12)/60</f>
        <v>7.8</v>
      </c>
      <c r="G12" s="52"/>
    </row>
    <row r="13" spans="1:7" ht="18.75" x14ac:dyDescent="0.2">
      <c r="A13" s="19">
        <v>46276</v>
      </c>
      <c r="B13" s="15">
        <v>46276</v>
      </c>
      <c r="C13" s="8">
        <v>0.3354166666666667</v>
      </c>
      <c r="D13" s="8">
        <v>0.60416666666666663</v>
      </c>
      <c r="E13" s="8">
        <f t="shared" si="0"/>
        <v>0.26874999999999993</v>
      </c>
      <c r="F13" s="10">
        <f>HOUR(E13)-1.5+MINUTE(E13)/60</f>
        <v>4.95</v>
      </c>
      <c r="G13" s="52"/>
    </row>
    <row r="14" spans="1:7" ht="18.75" x14ac:dyDescent="0.2">
      <c r="A14" s="19">
        <v>46277</v>
      </c>
      <c r="B14" s="57">
        <v>46277</v>
      </c>
      <c r="C14" s="58"/>
      <c r="D14" s="58"/>
      <c r="E14" s="58"/>
      <c r="F14" s="59"/>
      <c r="G14" s="52"/>
    </row>
    <row r="15" spans="1:7" ht="18.75" x14ac:dyDescent="0.2">
      <c r="A15" s="19">
        <v>46278</v>
      </c>
      <c r="B15" s="15">
        <v>46278</v>
      </c>
      <c r="C15" s="8">
        <v>0.33333333333333331</v>
      </c>
      <c r="D15" s="8">
        <v>0.70138888888888884</v>
      </c>
      <c r="E15" s="8">
        <f t="shared" ref="E15:E20" si="1">(D15)-(C15)</f>
        <v>0.36805555555555552</v>
      </c>
      <c r="F15" s="10">
        <f>HOUR(E15)-1+MINUTE(E15)/60</f>
        <v>7.833333333333333</v>
      </c>
      <c r="G15" s="52"/>
    </row>
    <row r="16" spans="1:7" ht="18.75" x14ac:dyDescent="0.2">
      <c r="A16" s="19">
        <v>46279</v>
      </c>
      <c r="B16" s="15">
        <v>46279</v>
      </c>
      <c r="C16" s="8">
        <v>0.33055555555555555</v>
      </c>
      <c r="D16" s="8">
        <v>0.70138888888888884</v>
      </c>
      <c r="E16" s="8">
        <f t="shared" si="1"/>
        <v>0.37083333333333329</v>
      </c>
      <c r="F16" s="10">
        <f>HOUR(E16)-1+MINUTE(E16)/60</f>
        <v>7.9</v>
      </c>
      <c r="G16" s="52"/>
    </row>
    <row r="17" spans="1:7" ht="18.75" x14ac:dyDescent="0.2">
      <c r="A17" s="19">
        <v>46280</v>
      </c>
      <c r="B17" s="15">
        <v>46280</v>
      </c>
      <c r="C17" s="8">
        <v>0.3347222222222222</v>
      </c>
      <c r="D17" s="8">
        <v>0.70138888888888884</v>
      </c>
      <c r="E17" s="8">
        <f t="shared" si="1"/>
        <v>0.36666666666666664</v>
      </c>
      <c r="F17" s="10">
        <f>HOUR(E17)-1+MINUTE(E17)/60</f>
        <v>7.8</v>
      </c>
      <c r="G17" s="52"/>
    </row>
    <row r="18" spans="1:7" ht="18.75" x14ac:dyDescent="0.2">
      <c r="A18" s="19">
        <v>46281</v>
      </c>
      <c r="B18" s="15">
        <v>46281</v>
      </c>
      <c r="C18" s="8">
        <v>0.33958333333333335</v>
      </c>
      <c r="D18" s="8">
        <v>0.70138888888888884</v>
      </c>
      <c r="E18" s="8">
        <f t="shared" si="1"/>
        <v>0.36180555555555549</v>
      </c>
      <c r="F18" s="10">
        <f>HOUR(E18)-1+MINUTE(E18)/60</f>
        <v>7.6833333333333336</v>
      </c>
      <c r="G18" s="52"/>
    </row>
    <row r="19" spans="1:7" ht="18.75" x14ac:dyDescent="0.2">
      <c r="A19" s="19">
        <v>46282</v>
      </c>
      <c r="B19" s="15">
        <v>46282</v>
      </c>
      <c r="C19" s="8">
        <v>0.33194444444444443</v>
      </c>
      <c r="D19" s="8">
        <v>0.6875</v>
      </c>
      <c r="E19" s="8">
        <f t="shared" si="1"/>
        <v>0.35555555555555557</v>
      </c>
      <c r="F19" s="10">
        <f>HOUR(E19)-1+MINUTE(E19)/60</f>
        <v>7.5333333333333332</v>
      </c>
      <c r="G19" s="52"/>
    </row>
    <row r="20" spans="1:7" ht="18.75" x14ac:dyDescent="0.2">
      <c r="A20" s="19">
        <v>46283</v>
      </c>
      <c r="B20" s="15">
        <v>46283</v>
      </c>
      <c r="C20" s="8">
        <v>0.33888888888888885</v>
      </c>
      <c r="D20" s="8">
        <v>0.60416666666666663</v>
      </c>
      <c r="E20" s="8">
        <f t="shared" si="1"/>
        <v>0.26527777777777778</v>
      </c>
      <c r="F20" s="10">
        <f>HOUR(E20)-1.5+MINUTE(E20)/60</f>
        <v>4.8666666666666663</v>
      </c>
      <c r="G20" s="52"/>
    </row>
    <row r="21" spans="1:7" ht="18.75" x14ac:dyDescent="0.2">
      <c r="A21" s="19">
        <v>46284</v>
      </c>
      <c r="B21" s="57">
        <v>46284</v>
      </c>
      <c r="C21" s="58"/>
      <c r="D21" s="58"/>
      <c r="E21" s="58"/>
      <c r="F21" s="59"/>
      <c r="G21" s="52"/>
    </row>
    <row r="22" spans="1:7" ht="18.75" x14ac:dyDescent="0.2">
      <c r="A22" s="19">
        <v>46285</v>
      </c>
      <c r="B22" s="15">
        <v>46285</v>
      </c>
      <c r="C22" s="8">
        <v>0.30833333333333335</v>
      </c>
      <c r="D22" s="8">
        <v>0.70138888888888884</v>
      </c>
      <c r="E22" s="8">
        <f t="shared" ref="E22:E27" si="2">(D22)-(C22)</f>
        <v>0.39305555555555549</v>
      </c>
      <c r="F22" s="10">
        <f>HOUR(E22)-1+MINUTE(E22)/60</f>
        <v>8.4333333333333336</v>
      </c>
      <c r="G22" s="52"/>
    </row>
    <row r="23" spans="1:7" ht="18.75" x14ac:dyDescent="0.2">
      <c r="A23" s="19">
        <v>46286</v>
      </c>
      <c r="B23" s="15">
        <v>46286</v>
      </c>
      <c r="C23" s="8">
        <v>0.3347222222222222</v>
      </c>
      <c r="D23" s="8">
        <v>0.70138888888888884</v>
      </c>
      <c r="E23" s="8">
        <f t="shared" si="2"/>
        <v>0.36666666666666664</v>
      </c>
      <c r="F23" s="10">
        <f>HOUR(E23)-1+MINUTE(E23)/60</f>
        <v>7.8</v>
      </c>
      <c r="G23" s="52"/>
    </row>
    <row r="24" spans="1:7" ht="18.75" x14ac:dyDescent="0.2">
      <c r="A24" s="19">
        <v>46287</v>
      </c>
      <c r="B24" s="15">
        <v>46287</v>
      </c>
      <c r="C24" s="8">
        <v>0.34861111111111115</v>
      </c>
      <c r="D24" s="8">
        <v>0.70138888888888884</v>
      </c>
      <c r="E24" s="8">
        <f t="shared" si="2"/>
        <v>0.35277777777777769</v>
      </c>
      <c r="F24" s="10">
        <f>HOUR(E24)-1+MINUTE(E24)/60</f>
        <v>7.4666666666666668</v>
      </c>
      <c r="G24" s="52"/>
    </row>
    <row r="25" spans="1:7" ht="18.75" x14ac:dyDescent="0.2">
      <c r="A25" s="19">
        <v>46288</v>
      </c>
      <c r="B25" s="15">
        <v>46288</v>
      </c>
      <c r="C25" s="8">
        <v>0.33611111111111108</v>
      </c>
      <c r="D25" s="8">
        <v>0.70138888888888884</v>
      </c>
      <c r="E25" s="8">
        <f t="shared" si="2"/>
        <v>0.36527777777777776</v>
      </c>
      <c r="F25" s="10">
        <f>HOUR(E25)-1+MINUTE(E25)/60</f>
        <v>7.7666666666666666</v>
      </c>
      <c r="G25" s="52"/>
    </row>
    <row r="26" spans="1:7" ht="18.75" x14ac:dyDescent="0.2">
      <c r="A26" s="19">
        <v>46289</v>
      </c>
      <c r="B26" s="15">
        <v>46289</v>
      </c>
      <c r="C26" s="8">
        <v>0.3354166666666667</v>
      </c>
      <c r="D26" s="8">
        <v>0.69027777777777777</v>
      </c>
      <c r="E26" s="8">
        <f t="shared" si="2"/>
        <v>0.35486111111111107</v>
      </c>
      <c r="F26" s="10">
        <f>HOUR(E26)-1+MINUTE(E26)/60</f>
        <v>7.5166666666666666</v>
      </c>
      <c r="G26" s="52"/>
    </row>
    <row r="27" spans="1:7" ht="18.75" x14ac:dyDescent="0.2">
      <c r="A27" s="19">
        <v>46290</v>
      </c>
      <c r="B27" s="15">
        <v>46290</v>
      </c>
      <c r="C27" s="8">
        <v>0.33333333333333331</v>
      </c>
      <c r="D27" s="8">
        <v>0.60416666666666663</v>
      </c>
      <c r="E27" s="8">
        <f t="shared" si="2"/>
        <v>0.27083333333333331</v>
      </c>
      <c r="F27" s="10">
        <f>HOUR(E27)-1.5+MINUTE(E27)/60</f>
        <v>5</v>
      </c>
      <c r="G27" s="52"/>
    </row>
    <row r="28" spans="1:7" ht="18.75" x14ac:dyDescent="0.2">
      <c r="A28" s="19">
        <v>46291</v>
      </c>
      <c r="B28" s="57">
        <v>46291</v>
      </c>
      <c r="C28" s="58"/>
      <c r="D28" s="58"/>
      <c r="E28" s="58"/>
      <c r="F28" s="59"/>
      <c r="G28" s="52"/>
    </row>
    <row r="29" spans="1:7" ht="18.75" x14ac:dyDescent="0.2">
      <c r="A29" s="19">
        <v>46292</v>
      </c>
      <c r="B29" s="15">
        <v>46292</v>
      </c>
      <c r="C29" s="8">
        <v>0.34236111111111112</v>
      </c>
      <c r="D29" s="8">
        <v>0.70138888888888884</v>
      </c>
      <c r="E29" s="8">
        <f>(D29)-(C29)</f>
        <v>0.35902777777777772</v>
      </c>
      <c r="F29" s="10">
        <f>HOUR(E29)-1+MINUTE(E29)/60</f>
        <v>7.6166666666666671</v>
      </c>
      <c r="G29" s="52"/>
    </row>
    <row r="30" spans="1:7" ht="18.75" x14ac:dyDescent="0.2">
      <c r="A30" s="19">
        <v>46293</v>
      </c>
      <c r="B30" s="15">
        <v>46293</v>
      </c>
      <c r="C30" s="8">
        <v>0.33333333333333331</v>
      </c>
      <c r="D30" s="8">
        <v>0.68888888888888899</v>
      </c>
      <c r="E30" s="8">
        <f>(D30)-(C30)</f>
        <v>0.35555555555555568</v>
      </c>
      <c r="F30" s="10">
        <f>HOUR(E30)-1+MINUTE(E30)/60</f>
        <v>7.5333333333333332</v>
      </c>
      <c r="G30" s="52"/>
    </row>
    <row r="31" spans="1:7" ht="18.75" x14ac:dyDescent="0.2">
      <c r="A31" s="19">
        <v>46294</v>
      </c>
      <c r="B31" s="15">
        <v>46294</v>
      </c>
      <c r="C31" s="28">
        <v>0.33333333333333331</v>
      </c>
      <c r="D31" s="8">
        <v>0.70138888888888884</v>
      </c>
      <c r="E31" s="8">
        <f>(D31)-(C31)</f>
        <v>0.36805555555555552</v>
      </c>
      <c r="F31" s="10">
        <f>HOUR(E31)-1+MINUTE(E31)/60</f>
        <v>7.833333333333333</v>
      </c>
      <c r="G31" s="52"/>
    </row>
    <row r="32" spans="1:7" ht="19.5" thickBot="1" x14ac:dyDescent="0.25">
      <c r="A32" s="20">
        <v>46295</v>
      </c>
      <c r="B32" s="26">
        <v>46295</v>
      </c>
      <c r="C32" s="9">
        <v>0.33333333333333331</v>
      </c>
      <c r="D32" s="27">
        <v>0.70138888888888884</v>
      </c>
      <c r="E32" s="9">
        <f>(D32)-(C32)</f>
        <v>0.36805555555555552</v>
      </c>
      <c r="F32" s="11">
        <f>HOUR(E32)-1+MINUTE(E32)/60</f>
        <v>7.833333333333333</v>
      </c>
      <c r="G32" s="60"/>
    </row>
    <row r="33" spans="1:7" ht="19.5" thickBot="1" x14ac:dyDescent="0.25">
      <c r="A33" s="3"/>
      <c r="B33" s="3"/>
      <c r="C33" s="3"/>
      <c r="D33" s="3"/>
      <c r="E33" s="3"/>
      <c r="F33" s="4"/>
      <c r="G33" s="3"/>
    </row>
    <row r="34" spans="1:7" ht="24" thickBot="1" x14ac:dyDescent="0.25">
      <c r="A34" s="3"/>
      <c r="B34" s="3"/>
      <c r="C34" s="3"/>
      <c r="D34" s="3"/>
      <c r="E34" s="6" t="s">
        <v>56</v>
      </c>
      <c r="F34" s="7">
        <f>SUM(F3:F32)</f>
        <v>190.10000000000005</v>
      </c>
      <c r="G34" s="3"/>
    </row>
    <row r="35" spans="1:7" ht="19.5" thickBot="1" x14ac:dyDescent="0.25">
      <c r="A35" s="3"/>
      <c r="B35" s="3"/>
      <c r="C35" s="3"/>
      <c r="D35" s="3"/>
      <c r="E35" s="3"/>
      <c r="F35" s="3"/>
      <c r="G35" s="3"/>
    </row>
    <row r="36" spans="1:7" ht="23.25" x14ac:dyDescent="0.2">
      <c r="A36" s="3"/>
      <c r="B36" s="3"/>
      <c r="C36" s="3"/>
      <c r="D36" s="3"/>
      <c r="E36" s="22" t="s">
        <v>57</v>
      </c>
      <c r="F36" s="23">
        <f>COUNT(F3:F32)</f>
        <v>26</v>
      </c>
      <c r="G36" s="3"/>
    </row>
    <row r="37" spans="1:7" ht="24" thickBot="1" x14ac:dyDescent="0.25">
      <c r="A37" s="3"/>
      <c r="B37" s="3"/>
      <c r="C37" s="3"/>
      <c r="D37" s="3"/>
      <c r="E37" s="24" t="s">
        <v>58</v>
      </c>
      <c r="F37" s="25">
        <f>30-F36-4</f>
        <v>0</v>
      </c>
      <c r="G37" s="3"/>
    </row>
  </sheetData>
  <mergeCells count="6">
    <mergeCell ref="B1:G1"/>
    <mergeCell ref="G2:G32"/>
    <mergeCell ref="B7:F7"/>
    <mergeCell ref="B14:F14"/>
    <mergeCell ref="B21:F21"/>
    <mergeCell ref="B28:F28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DA041-78A4-4BAD-8B7F-9D47BE035BED}">
  <dimension ref="A1:G37"/>
  <sheetViews>
    <sheetView rightToLeft="1" workbookViewId="0"/>
  </sheetViews>
  <sheetFormatPr defaultRowHeight="14.25" x14ac:dyDescent="0.2"/>
  <cols>
    <col min="1" max="1" width="9.75" bestFit="1" customWidth="1"/>
    <col min="2" max="2" width="11.625" bestFit="1" customWidth="1"/>
    <col min="3" max="3" width="12.625" bestFit="1" customWidth="1"/>
    <col min="4" max="4" width="12.375" bestFit="1" customWidth="1"/>
    <col min="5" max="5" width="16.875" bestFit="1" customWidth="1"/>
    <col min="6" max="6" width="13.125" bestFit="1" customWidth="1"/>
    <col min="7" max="7" width="7.875" bestFit="1" customWidth="1"/>
  </cols>
  <sheetData>
    <row r="1" spans="1:7" ht="34.5" thickBot="1" x14ac:dyDescent="0.25">
      <c r="A1" s="5" t="s">
        <v>49</v>
      </c>
      <c r="B1" s="54" t="s">
        <v>14</v>
      </c>
      <c r="C1" s="55"/>
      <c r="D1" s="55"/>
      <c r="E1" s="55"/>
      <c r="F1" s="55"/>
      <c r="G1" s="56"/>
    </row>
    <row r="2" spans="1:7" ht="19.5" thickBot="1" x14ac:dyDescent="0.25">
      <c r="A2" s="5" t="s">
        <v>50</v>
      </c>
      <c r="B2" s="21" t="s">
        <v>51</v>
      </c>
      <c r="C2" s="16" t="s">
        <v>52</v>
      </c>
      <c r="D2" s="16" t="s">
        <v>53</v>
      </c>
      <c r="E2" s="16" t="s">
        <v>54</v>
      </c>
      <c r="F2" s="17" t="s">
        <v>55</v>
      </c>
      <c r="G2" s="51">
        <v>46266</v>
      </c>
    </row>
    <row r="3" spans="1:7" ht="18.75" x14ac:dyDescent="0.2">
      <c r="A3" s="18">
        <v>46266</v>
      </c>
      <c r="B3" s="14">
        <v>46266</v>
      </c>
      <c r="C3" s="12">
        <v>0.33333333333333331</v>
      </c>
      <c r="D3" s="12">
        <v>0.69444444444444453</v>
      </c>
      <c r="E3" s="12">
        <f>(D3)-(C3)</f>
        <v>0.36111111111111122</v>
      </c>
      <c r="F3" s="13">
        <f>HOUR(E3)-1+MINUTE(E3)/60</f>
        <v>7.666666666666667</v>
      </c>
      <c r="G3" s="52"/>
    </row>
    <row r="4" spans="1:7" ht="18.75" x14ac:dyDescent="0.2">
      <c r="A4" s="19">
        <v>46267</v>
      </c>
      <c r="B4" s="15">
        <v>46267</v>
      </c>
      <c r="C4" s="8">
        <v>0.32777777777777778</v>
      </c>
      <c r="D4" s="8">
        <v>0.69444444444444453</v>
      </c>
      <c r="E4" s="8">
        <f>(D4)-(C4)</f>
        <v>0.36666666666666675</v>
      </c>
      <c r="F4" s="10">
        <f>HOUR(E4)-1+MINUTE(E4)/60</f>
        <v>7.8</v>
      </c>
      <c r="G4" s="52"/>
    </row>
    <row r="5" spans="1:7" ht="18.75" x14ac:dyDescent="0.2">
      <c r="A5" s="19">
        <v>46268</v>
      </c>
      <c r="B5" s="15">
        <v>46268</v>
      </c>
      <c r="C5" s="8">
        <v>0.32777777777777778</v>
      </c>
      <c r="D5" s="8">
        <v>0.62361111111111112</v>
      </c>
      <c r="E5" s="8">
        <f>(D5)-(C5)</f>
        <v>0.29583333333333334</v>
      </c>
      <c r="F5" s="10">
        <f>HOUR(E5)-1+MINUTE(E5)/60</f>
        <v>6.1</v>
      </c>
      <c r="G5" s="52"/>
    </row>
    <row r="6" spans="1:7" ht="18.75" x14ac:dyDescent="0.2">
      <c r="A6" s="19">
        <v>46269</v>
      </c>
      <c r="B6" s="15">
        <v>46269</v>
      </c>
      <c r="C6" s="8">
        <v>0.33333333333333331</v>
      </c>
      <c r="D6" s="8">
        <v>0.5756944444444444</v>
      </c>
      <c r="E6" s="8">
        <f>(D6)-(C6)</f>
        <v>0.24236111111111108</v>
      </c>
      <c r="F6" s="10">
        <f>HOUR(E6)-1.5+MINUTE(E6)/60</f>
        <v>4.3166666666666664</v>
      </c>
      <c r="G6" s="52"/>
    </row>
    <row r="7" spans="1:7" ht="18.75" x14ac:dyDescent="0.2">
      <c r="A7" s="19">
        <v>46270</v>
      </c>
      <c r="B7" s="57">
        <v>46270</v>
      </c>
      <c r="C7" s="58"/>
      <c r="D7" s="58"/>
      <c r="E7" s="58"/>
      <c r="F7" s="59"/>
      <c r="G7" s="52"/>
    </row>
    <row r="8" spans="1:7" ht="18.75" x14ac:dyDescent="0.2">
      <c r="A8" s="19">
        <v>46271</v>
      </c>
      <c r="B8" s="15">
        <v>46271</v>
      </c>
      <c r="C8" s="8">
        <v>0.33124999999999999</v>
      </c>
      <c r="D8" s="8">
        <v>0.69166666666666676</v>
      </c>
      <c r="E8" s="8">
        <f t="shared" ref="E8:E13" si="0">(D8)-(C8)</f>
        <v>0.36041666666666677</v>
      </c>
      <c r="F8" s="10">
        <f>HOUR(E8)-1+MINUTE(E8)/60</f>
        <v>7.65</v>
      </c>
      <c r="G8" s="52"/>
    </row>
    <row r="9" spans="1:7" ht="18.75" x14ac:dyDescent="0.2">
      <c r="A9" s="19">
        <v>46272</v>
      </c>
      <c r="B9" s="15">
        <v>46272</v>
      </c>
      <c r="C9" s="8">
        <v>0.32569444444444445</v>
      </c>
      <c r="D9" s="8">
        <v>0.66527777777777775</v>
      </c>
      <c r="E9" s="8">
        <f t="shared" si="0"/>
        <v>0.33958333333333329</v>
      </c>
      <c r="F9" s="10">
        <f>HOUR(E9)-1+MINUTE(E9)/60</f>
        <v>7.15</v>
      </c>
      <c r="G9" s="52"/>
    </row>
    <row r="10" spans="1:7" ht="18.75" x14ac:dyDescent="0.2">
      <c r="A10" s="19">
        <v>46273</v>
      </c>
      <c r="B10" s="15">
        <v>46273</v>
      </c>
      <c r="C10" s="8">
        <v>0.32777777777777778</v>
      </c>
      <c r="D10" s="8">
        <v>0.68958333333333333</v>
      </c>
      <c r="E10" s="8">
        <f t="shared" si="0"/>
        <v>0.36180555555555555</v>
      </c>
      <c r="F10" s="10">
        <f>HOUR(E10)-1+MINUTE(E10)/60</f>
        <v>7.6833333333333336</v>
      </c>
      <c r="G10" s="52"/>
    </row>
    <row r="11" spans="1:7" ht="18.75" x14ac:dyDescent="0.2">
      <c r="A11" s="19">
        <v>46274</v>
      </c>
      <c r="B11" s="15">
        <v>46274</v>
      </c>
      <c r="C11" s="8">
        <v>0.3263888888888889</v>
      </c>
      <c r="D11" s="8">
        <v>0.69236111111111109</v>
      </c>
      <c r="E11" s="8">
        <f t="shared" si="0"/>
        <v>0.3659722222222222</v>
      </c>
      <c r="F11" s="10">
        <f>HOUR(E11)-1+MINUTE(E11)/60</f>
        <v>7.7833333333333332</v>
      </c>
      <c r="G11" s="52"/>
    </row>
    <row r="12" spans="1:7" ht="18.75" x14ac:dyDescent="0.2">
      <c r="A12" s="19">
        <v>46275</v>
      </c>
      <c r="B12" s="15">
        <v>46275</v>
      </c>
      <c r="C12" s="8">
        <v>0.33333333333333331</v>
      </c>
      <c r="D12" s="8">
        <v>0.70138888888888884</v>
      </c>
      <c r="E12" s="8">
        <f t="shared" si="0"/>
        <v>0.36805555555555552</v>
      </c>
      <c r="F12" s="10">
        <f>HOUR(E12)-1+MINUTE(E12)/60</f>
        <v>7.833333333333333</v>
      </c>
      <c r="G12" s="52"/>
    </row>
    <row r="13" spans="1:7" ht="18.75" x14ac:dyDescent="0.2">
      <c r="A13" s="19">
        <v>46276</v>
      </c>
      <c r="B13" s="15">
        <v>46276</v>
      </c>
      <c r="C13" s="8">
        <v>0.33333333333333331</v>
      </c>
      <c r="D13" s="8">
        <v>0.60416666666666663</v>
      </c>
      <c r="E13" s="8">
        <f t="shared" si="0"/>
        <v>0.27083333333333331</v>
      </c>
      <c r="F13" s="10">
        <f>HOUR(E13)-1.5+MINUTE(E13)/60</f>
        <v>5</v>
      </c>
      <c r="G13" s="52"/>
    </row>
    <row r="14" spans="1:7" ht="18.75" x14ac:dyDescent="0.2">
      <c r="A14" s="19">
        <v>46277</v>
      </c>
      <c r="B14" s="57">
        <v>46277</v>
      </c>
      <c r="C14" s="58"/>
      <c r="D14" s="58"/>
      <c r="E14" s="58"/>
      <c r="F14" s="59"/>
      <c r="G14" s="52"/>
    </row>
    <row r="15" spans="1:7" ht="18.75" x14ac:dyDescent="0.2">
      <c r="A15" s="19">
        <v>46278</v>
      </c>
      <c r="B15" s="15">
        <v>46278</v>
      </c>
      <c r="C15" s="8">
        <v>0.33333333333333331</v>
      </c>
      <c r="D15" s="8">
        <v>0.6972222222222223</v>
      </c>
      <c r="E15" s="8">
        <f t="shared" ref="E15:E20" si="1">(D15)-(C15)</f>
        <v>0.36388888888888898</v>
      </c>
      <c r="F15" s="10">
        <f>HOUR(E15)-1+MINUTE(E15)/60</f>
        <v>7.7333333333333334</v>
      </c>
      <c r="G15" s="52"/>
    </row>
    <row r="16" spans="1:7" ht="18.75" x14ac:dyDescent="0.2">
      <c r="A16" s="19">
        <v>46279</v>
      </c>
      <c r="B16" s="15">
        <v>46279</v>
      </c>
      <c r="C16" s="8">
        <v>0.33333333333333331</v>
      </c>
      <c r="D16" s="8">
        <v>0.69166666666666676</v>
      </c>
      <c r="E16" s="8">
        <f t="shared" si="1"/>
        <v>0.35833333333333345</v>
      </c>
      <c r="F16" s="10">
        <f>HOUR(E16)-1+MINUTE(E16)/60</f>
        <v>7.6</v>
      </c>
      <c r="G16" s="52"/>
    </row>
    <row r="17" spans="1:7" ht="18.75" x14ac:dyDescent="0.2">
      <c r="A17" s="19">
        <v>46280</v>
      </c>
      <c r="B17" s="15">
        <v>46280</v>
      </c>
      <c r="C17" s="8">
        <v>0.32847222222222222</v>
      </c>
      <c r="D17" s="8">
        <v>0.69305555555555554</v>
      </c>
      <c r="E17" s="8">
        <f t="shared" si="1"/>
        <v>0.36458333333333331</v>
      </c>
      <c r="F17" s="10">
        <f>HOUR(E17)-1+MINUTE(E17)/60</f>
        <v>7.75</v>
      </c>
      <c r="G17" s="52"/>
    </row>
    <row r="18" spans="1:7" ht="18.75" x14ac:dyDescent="0.2">
      <c r="A18" s="19">
        <v>46281</v>
      </c>
      <c r="B18" s="15">
        <v>46281</v>
      </c>
      <c r="C18" s="8">
        <v>0.36736111111111108</v>
      </c>
      <c r="D18" s="8">
        <v>0.69374999999999998</v>
      </c>
      <c r="E18" s="8">
        <f t="shared" si="1"/>
        <v>0.3263888888888889</v>
      </c>
      <c r="F18" s="10">
        <f>HOUR(E18)-1+MINUTE(E18)/60</f>
        <v>6.833333333333333</v>
      </c>
      <c r="G18" s="52"/>
    </row>
    <row r="19" spans="1:7" ht="18.75" x14ac:dyDescent="0.2">
      <c r="A19" s="19">
        <v>46282</v>
      </c>
      <c r="B19" s="15">
        <v>46282</v>
      </c>
      <c r="C19" s="8">
        <v>0.33263888888888887</v>
      </c>
      <c r="D19" s="8">
        <v>0.6972222222222223</v>
      </c>
      <c r="E19" s="8">
        <f t="shared" si="1"/>
        <v>0.36458333333333343</v>
      </c>
      <c r="F19" s="10">
        <f>HOUR(E19)-1+MINUTE(E19)/60</f>
        <v>7.75</v>
      </c>
      <c r="G19" s="52"/>
    </row>
    <row r="20" spans="1:7" ht="18.75" x14ac:dyDescent="0.2">
      <c r="A20" s="19">
        <v>46283</v>
      </c>
      <c r="B20" s="15">
        <v>46283</v>
      </c>
      <c r="C20" s="8">
        <v>0.33749999999999997</v>
      </c>
      <c r="D20" s="8">
        <v>0.60416666666666663</v>
      </c>
      <c r="E20" s="8">
        <f t="shared" si="1"/>
        <v>0.26666666666666666</v>
      </c>
      <c r="F20" s="10">
        <f>HOUR(E20)-1.5+MINUTE(E20)/60</f>
        <v>4.9000000000000004</v>
      </c>
      <c r="G20" s="52"/>
    </row>
    <row r="21" spans="1:7" ht="18.75" x14ac:dyDescent="0.2">
      <c r="A21" s="19">
        <v>46284</v>
      </c>
      <c r="B21" s="57">
        <v>46284</v>
      </c>
      <c r="C21" s="58"/>
      <c r="D21" s="58"/>
      <c r="E21" s="58"/>
      <c r="F21" s="59"/>
      <c r="G21" s="52"/>
    </row>
    <row r="22" spans="1:7" ht="18.75" x14ac:dyDescent="0.2">
      <c r="A22" s="19">
        <v>46285</v>
      </c>
      <c r="B22" s="15">
        <v>46285</v>
      </c>
      <c r="C22" s="8">
        <v>0.33680555555555558</v>
      </c>
      <c r="D22" s="8">
        <v>0.70138888888888884</v>
      </c>
      <c r="E22" s="8">
        <f>(D22)-(C22)</f>
        <v>0.36458333333333326</v>
      </c>
      <c r="F22" s="10">
        <f>HOUR(E22)-1+MINUTE(E22)/60</f>
        <v>7.75</v>
      </c>
      <c r="G22" s="52"/>
    </row>
    <row r="23" spans="1:7" ht="18.75" x14ac:dyDescent="0.2">
      <c r="A23" s="19">
        <v>46286</v>
      </c>
      <c r="B23" s="15">
        <v>46286</v>
      </c>
      <c r="C23" s="42"/>
      <c r="D23" s="43"/>
      <c r="E23" s="43"/>
      <c r="F23" s="44"/>
      <c r="G23" s="52"/>
    </row>
    <row r="24" spans="1:7" ht="18.75" x14ac:dyDescent="0.2">
      <c r="A24" s="19">
        <v>46287</v>
      </c>
      <c r="B24" s="15">
        <v>46287</v>
      </c>
      <c r="C24" s="8">
        <v>0.33402777777777781</v>
      </c>
      <c r="D24" s="8">
        <v>0.70138888888888884</v>
      </c>
      <c r="E24" s="8">
        <f>(D24)-(C24)</f>
        <v>0.36736111111111103</v>
      </c>
      <c r="F24" s="10">
        <f>HOUR(E24)-1+MINUTE(E24)/60</f>
        <v>7.8166666666666664</v>
      </c>
      <c r="G24" s="52"/>
    </row>
    <row r="25" spans="1:7" ht="18.75" x14ac:dyDescent="0.2">
      <c r="A25" s="19">
        <v>46288</v>
      </c>
      <c r="B25" s="15">
        <v>46288</v>
      </c>
      <c r="C25" s="8">
        <v>0.3347222222222222</v>
      </c>
      <c r="D25" s="8">
        <v>0.70138888888888884</v>
      </c>
      <c r="E25" s="8">
        <f>(D25)-(C25)</f>
        <v>0.36666666666666664</v>
      </c>
      <c r="F25" s="10">
        <f>HOUR(E25)-1+MINUTE(E25)/60</f>
        <v>7.8</v>
      </c>
      <c r="G25" s="52"/>
    </row>
    <row r="26" spans="1:7" ht="18.75" x14ac:dyDescent="0.2">
      <c r="A26" s="19">
        <v>46289</v>
      </c>
      <c r="B26" s="15">
        <v>46289</v>
      </c>
      <c r="C26" s="8">
        <v>0.33263888888888887</v>
      </c>
      <c r="D26" s="8">
        <v>0.70138888888888884</v>
      </c>
      <c r="E26" s="8">
        <f>(D26)-(C26)</f>
        <v>0.36874999999999997</v>
      </c>
      <c r="F26" s="10">
        <f>HOUR(E26)-1+MINUTE(E26)/60</f>
        <v>7.85</v>
      </c>
      <c r="G26" s="52"/>
    </row>
    <row r="27" spans="1:7" ht="18.75" x14ac:dyDescent="0.2">
      <c r="A27" s="19">
        <v>46290</v>
      </c>
      <c r="B27" s="15">
        <v>46290</v>
      </c>
      <c r="C27" s="8">
        <v>0.3354166666666667</v>
      </c>
      <c r="D27" s="8">
        <v>0.60416666666666663</v>
      </c>
      <c r="E27" s="8">
        <f>(D27)-(C27)</f>
        <v>0.26874999999999993</v>
      </c>
      <c r="F27" s="10">
        <f>HOUR(E27)-1.5+MINUTE(E27)/60</f>
        <v>4.95</v>
      </c>
      <c r="G27" s="52"/>
    </row>
    <row r="28" spans="1:7" ht="18.75" x14ac:dyDescent="0.2">
      <c r="A28" s="19">
        <v>46291</v>
      </c>
      <c r="B28" s="57">
        <v>46291</v>
      </c>
      <c r="C28" s="58"/>
      <c r="D28" s="58"/>
      <c r="E28" s="58"/>
      <c r="F28" s="59"/>
      <c r="G28" s="52"/>
    </row>
    <row r="29" spans="1:7" ht="18.75" x14ac:dyDescent="0.2">
      <c r="A29" s="19">
        <v>46292</v>
      </c>
      <c r="B29" s="15">
        <v>46292</v>
      </c>
      <c r="C29" s="8">
        <v>0.33263888888888887</v>
      </c>
      <c r="D29" s="8">
        <v>0.70138888888888884</v>
      </c>
      <c r="E29" s="8">
        <f>(D29)-(C29)</f>
        <v>0.36874999999999997</v>
      </c>
      <c r="F29" s="10">
        <f>HOUR(E29)-1+MINUTE(E29)/60</f>
        <v>7.85</v>
      </c>
      <c r="G29" s="52"/>
    </row>
    <row r="30" spans="1:7" ht="18.75" x14ac:dyDescent="0.2">
      <c r="A30" s="19">
        <v>46293</v>
      </c>
      <c r="B30" s="15">
        <v>46293</v>
      </c>
      <c r="C30" s="8">
        <v>0.33333333333333331</v>
      </c>
      <c r="D30" s="8">
        <v>0.70138888888888884</v>
      </c>
      <c r="E30" s="8">
        <f>(D30)-(C30)</f>
        <v>0.36805555555555552</v>
      </c>
      <c r="F30" s="10">
        <f>HOUR(E30)-1+MINUTE(E30)/60</f>
        <v>7.833333333333333</v>
      </c>
      <c r="G30" s="52"/>
    </row>
    <row r="31" spans="1:7" ht="18.75" x14ac:dyDescent="0.2">
      <c r="A31" s="19">
        <v>46294</v>
      </c>
      <c r="B31" s="15">
        <v>46294</v>
      </c>
      <c r="C31" s="28">
        <v>0.33194444444444443</v>
      </c>
      <c r="D31" s="8">
        <v>0.70138888888888884</v>
      </c>
      <c r="E31" s="8">
        <f>(D31)-(C31)</f>
        <v>0.36944444444444441</v>
      </c>
      <c r="F31" s="10">
        <f>HOUR(E31)-1+MINUTE(E31)/60</f>
        <v>7.8666666666666671</v>
      </c>
      <c r="G31" s="52"/>
    </row>
    <row r="32" spans="1:7" ht="19.5" thickBot="1" x14ac:dyDescent="0.25">
      <c r="A32" s="20">
        <v>46295</v>
      </c>
      <c r="B32" s="26">
        <v>46295</v>
      </c>
      <c r="C32" s="9">
        <v>0.3354166666666667</v>
      </c>
      <c r="D32" s="27">
        <v>0.70138888888888884</v>
      </c>
      <c r="E32" s="9">
        <f>(D32)-(C32)</f>
        <v>0.36597222222222214</v>
      </c>
      <c r="F32" s="11">
        <f>HOUR(E32)-1+MINUTE(E32)/60</f>
        <v>7.7833333333333332</v>
      </c>
      <c r="G32" s="60"/>
    </row>
    <row r="33" spans="1:7" ht="19.5" thickBot="1" x14ac:dyDescent="0.25">
      <c r="A33" s="3"/>
      <c r="B33" s="3"/>
      <c r="C33" s="3"/>
      <c r="D33" s="3"/>
      <c r="E33" s="3"/>
      <c r="F33" s="4"/>
      <c r="G33" s="3"/>
    </row>
    <row r="34" spans="1:7" ht="24" thickBot="1" x14ac:dyDescent="0.25">
      <c r="A34" s="3"/>
      <c r="B34" s="3"/>
      <c r="C34" s="3"/>
      <c r="D34" s="3"/>
      <c r="E34" s="6" t="s">
        <v>56</v>
      </c>
      <c r="F34" s="7">
        <f>SUM(F3:F32)</f>
        <v>179.04999999999998</v>
      </c>
      <c r="G34" s="3"/>
    </row>
    <row r="35" spans="1:7" ht="19.5" thickBot="1" x14ac:dyDescent="0.25">
      <c r="A35" s="3"/>
      <c r="B35" s="3"/>
      <c r="C35" s="3"/>
      <c r="D35" s="3"/>
      <c r="E35" s="3"/>
      <c r="F35" s="3"/>
      <c r="G35" s="3"/>
    </row>
    <row r="36" spans="1:7" ht="23.25" x14ac:dyDescent="0.2">
      <c r="A36" s="3"/>
      <c r="B36" s="3"/>
      <c r="C36" s="3"/>
      <c r="D36" s="3"/>
      <c r="E36" s="22" t="s">
        <v>57</v>
      </c>
      <c r="F36" s="23">
        <f>COUNT(F3:F32)</f>
        <v>25</v>
      </c>
      <c r="G36" s="3"/>
    </row>
    <row r="37" spans="1:7" ht="24" thickBot="1" x14ac:dyDescent="0.25">
      <c r="A37" s="3"/>
      <c r="B37" s="3"/>
      <c r="C37" s="3"/>
      <c r="D37" s="3"/>
      <c r="E37" s="24" t="s">
        <v>58</v>
      </c>
      <c r="F37" s="25">
        <f>30-F36-4</f>
        <v>1</v>
      </c>
      <c r="G37" s="3"/>
    </row>
  </sheetData>
  <mergeCells count="7">
    <mergeCell ref="B1:G1"/>
    <mergeCell ref="G2:G32"/>
    <mergeCell ref="B7:F7"/>
    <mergeCell ref="B14:F14"/>
    <mergeCell ref="B21:F21"/>
    <mergeCell ref="B28:F28"/>
    <mergeCell ref="C23:F23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1F729-8DA7-4822-8FFE-90276E9C1B54}">
  <dimension ref="A1:G37"/>
  <sheetViews>
    <sheetView rightToLeft="1" workbookViewId="0"/>
  </sheetViews>
  <sheetFormatPr defaultRowHeight="14.25" x14ac:dyDescent="0.2"/>
  <cols>
    <col min="1" max="1" width="9.75" bestFit="1" customWidth="1"/>
    <col min="2" max="2" width="11.625" bestFit="1" customWidth="1"/>
    <col min="3" max="3" width="12.625" bestFit="1" customWidth="1"/>
    <col min="4" max="4" width="12.375" bestFit="1" customWidth="1"/>
    <col min="5" max="5" width="16.875" bestFit="1" customWidth="1"/>
    <col min="6" max="6" width="13.125" bestFit="1" customWidth="1"/>
    <col min="7" max="7" width="7.875" bestFit="1" customWidth="1"/>
  </cols>
  <sheetData>
    <row r="1" spans="1:7" ht="34.5" thickBot="1" x14ac:dyDescent="0.25">
      <c r="A1" s="5" t="s">
        <v>49</v>
      </c>
      <c r="B1" s="54" t="s">
        <v>13</v>
      </c>
      <c r="C1" s="55"/>
      <c r="D1" s="55"/>
      <c r="E1" s="55"/>
      <c r="F1" s="55"/>
      <c r="G1" s="56"/>
    </row>
    <row r="2" spans="1:7" ht="19.5" thickBot="1" x14ac:dyDescent="0.25">
      <c r="A2" s="5" t="s">
        <v>50</v>
      </c>
      <c r="B2" s="21" t="s">
        <v>51</v>
      </c>
      <c r="C2" s="16" t="s">
        <v>52</v>
      </c>
      <c r="D2" s="16" t="s">
        <v>53</v>
      </c>
      <c r="E2" s="16" t="s">
        <v>54</v>
      </c>
      <c r="F2" s="17" t="s">
        <v>55</v>
      </c>
      <c r="G2" s="51">
        <v>46266</v>
      </c>
    </row>
    <row r="3" spans="1:7" ht="18.75" x14ac:dyDescent="0.2">
      <c r="A3" s="18">
        <v>46266</v>
      </c>
      <c r="B3" s="14">
        <v>46266</v>
      </c>
      <c r="C3" s="61"/>
      <c r="D3" s="62"/>
      <c r="E3" s="62"/>
      <c r="F3" s="63"/>
      <c r="G3" s="52"/>
    </row>
    <row r="4" spans="1:7" ht="18.75" x14ac:dyDescent="0.2">
      <c r="A4" s="19">
        <v>46267</v>
      </c>
      <c r="B4" s="15">
        <v>46267</v>
      </c>
      <c r="C4" s="42"/>
      <c r="D4" s="43"/>
      <c r="E4" s="43"/>
      <c r="F4" s="44"/>
      <c r="G4" s="52"/>
    </row>
    <row r="5" spans="1:7" ht="18.75" x14ac:dyDescent="0.2">
      <c r="A5" s="19">
        <v>46268</v>
      </c>
      <c r="B5" s="15">
        <v>46268</v>
      </c>
      <c r="C5" s="42"/>
      <c r="D5" s="43"/>
      <c r="E5" s="43"/>
      <c r="F5" s="44"/>
      <c r="G5" s="52"/>
    </row>
    <row r="6" spans="1:7" ht="18.75" x14ac:dyDescent="0.2">
      <c r="A6" s="19">
        <v>46269</v>
      </c>
      <c r="B6" s="15">
        <v>46269</v>
      </c>
      <c r="C6" s="42"/>
      <c r="D6" s="43"/>
      <c r="E6" s="43"/>
      <c r="F6" s="44"/>
      <c r="G6" s="52"/>
    </row>
    <row r="7" spans="1:7" ht="18.75" x14ac:dyDescent="0.2">
      <c r="A7" s="19">
        <v>46270</v>
      </c>
      <c r="B7" s="57">
        <v>46270</v>
      </c>
      <c r="C7" s="58"/>
      <c r="D7" s="58"/>
      <c r="E7" s="58"/>
      <c r="F7" s="59"/>
      <c r="G7" s="52"/>
    </row>
    <row r="8" spans="1:7" ht="18.75" x14ac:dyDescent="0.2">
      <c r="A8" s="19">
        <v>46271</v>
      </c>
      <c r="B8" s="15">
        <v>46271</v>
      </c>
      <c r="C8" s="42"/>
      <c r="D8" s="43"/>
      <c r="E8" s="43"/>
      <c r="F8" s="44"/>
      <c r="G8" s="52"/>
    </row>
    <row r="9" spans="1:7" ht="18.75" x14ac:dyDescent="0.2">
      <c r="A9" s="19">
        <v>46272</v>
      </c>
      <c r="B9" s="15">
        <v>46272</v>
      </c>
      <c r="C9" s="42"/>
      <c r="D9" s="43"/>
      <c r="E9" s="43"/>
      <c r="F9" s="44"/>
      <c r="G9" s="52"/>
    </row>
    <row r="10" spans="1:7" ht="18.75" x14ac:dyDescent="0.2">
      <c r="A10" s="19">
        <v>46273</v>
      </c>
      <c r="B10" s="15">
        <v>46273</v>
      </c>
      <c r="C10" s="42"/>
      <c r="D10" s="43"/>
      <c r="E10" s="43"/>
      <c r="F10" s="44"/>
      <c r="G10" s="52"/>
    </row>
    <row r="11" spans="1:7" ht="18.75" x14ac:dyDescent="0.2">
      <c r="A11" s="19">
        <v>46274</v>
      </c>
      <c r="B11" s="15">
        <v>46274</v>
      </c>
      <c r="C11" s="42"/>
      <c r="D11" s="43"/>
      <c r="E11" s="43"/>
      <c r="F11" s="44"/>
      <c r="G11" s="52"/>
    </row>
    <row r="12" spans="1:7" ht="18.75" x14ac:dyDescent="0.2">
      <c r="A12" s="19">
        <v>46275</v>
      </c>
      <c r="B12" s="15">
        <v>46275</v>
      </c>
      <c r="C12" s="42"/>
      <c r="D12" s="43"/>
      <c r="E12" s="43"/>
      <c r="F12" s="44"/>
      <c r="G12" s="52"/>
    </row>
    <row r="13" spans="1:7" ht="18.75" x14ac:dyDescent="0.2">
      <c r="A13" s="19">
        <v>46276</v>
      </c>
      <c r="B13" s="15">
        <v>46276</v>
      </c>
      <c r="C13" s="42"/>
      <c r="D13" s="43"/>
      <c r="E13" s="43"/>
      <c r="F13" s="44"/>
      <c r="G13" s="52"/>
    </row>
    <row r="14" spans="1:7" ht="18.75" x14ac:dyDescent="0.2">
      <c r="A14" s="19">
        <v>46277</v>
      </c>
      <c r="B14" s="57">
        <v>46277</v>
      </c>
      <c r="C14" s="58"/>
      <c r="D14" s="58"/>
      <c r="E14" s="58"/>
      <c r="F14" s="59"/>
      <c r="G14" s="52"/>
    </row>
    <row r="15" spans="1:7" ht="18.75" x14ac:dyDescent="0.2">
      <c r="A15" s="19">
        <v>46278</v>
      </c>
      <c r="B15" s="15">
        <v>46278</v>
      </c>
      <c r="C15" s="42"/>
      <c r="D15" s="43"/>
      <c r="E15" s="43"/>
      <c r="F15" s="44"/>
      <c r="G15" s="52"/>
    </row>
    <row r="16" spans="1:7" ht="18.75" x14ac:dyDescent="0.2">
      <c r="A16" s="19">
        <v>46279</v>
      </c>
      <c r="B16" s="15">
        <v>46279</v>
      </c>
      <c r="C16" s="42"/>
      <c r="D16" s="43"/>
      <c r="E16" s="43"/>
      <c r="F16" s="44"/>
      <c r="G16" s="52"/>
    </row>
    <row r="17" spans="1:7" ht="18.75" x14ac:dyDescent="0.2">
      <c r="A17" s="19">
        <v>46280</v>
      </c>
      <c r="B17" s="15">
        <v>46280</v>
      </c>
      <c r="C17" s="42"/>
      <c r="D17" s="43"/>
      <c r="E17" s="43"/>
      <c r="F17" s="44"/>
      <c r="G17" s="52"/>
    </row>
    <row r="18" spans="1:7" ht="18.75" x14ac:dyDescent="0.2">
      <c r="A18" s="19">
        <v>46281</v>
      </c>
      <c r="B18" s="15">
        <v>46281</v>
      </c>
      <c r="C18" s="42"/>
      <c r="D18" s="43"/>
      <c r="E18" s="43"/>
      <c r="F18" s="44"/>
      <c r="G18" s="52"/>
    </row>
    <row r="19" spans="1:7" ht="18.75" x14ac:dyDescent="0.2">
      <c r="A19" s="19">
        <v>46282</v>
      </c>
      <c r="B19" s="15">
        <v>46282</v>
      </c>
      <c r="C19" s="42"/>
      <c r="D19" s="43"/>
      <c r="E19" s="43"/>
      <c r="F19" s="44"/>
      <c r="G19" s="52"/>
    </row>
    <row r="20" spans="1:7" ht="18.75" x14ac:dyDescent="0.2">
      <c r="A20" s="19">
        <v>46283</v>
      </c>
      <c r="B20" s="15">
        <v>46283</v>
      </c>
      <c r="C20" s="42"/>
      <c r="D20" s="43"/>
      <c r="E20" s="43"/>
      <c r="F20" s="44"/>
      <c r="G20" s="52"/>
    </row>
    <row r="21" spans="1:7" ht="18.75" x14ac:dyDescent="0.2">
      <c r="A21" s="19">
        <v>46284</v>
      </c>
      <c r="B21" s="57">
        <v>46284</v>
      </c>
      <c r="C21" s="58"/>
      <c r="D21" s="58"/>
      <c r="E21" s="58"/>
      <c r="F21" s="59"/>
      <c r="G21" s="52"/>
    </row>
    <row r="22" spans="1:7" ht="18.75" x14ac:dyDescent="0.2">
      <c r="A22" s="19">
        <v>46285</v>
      </c>
      <c r="B22" s="15">
        <v>46285</v>
      </c>
      <c r="C22" s="42"/>
      <c r="D22" s="43"/>
      <c r="E22" s="43"/>
      <c r="F22" s="44"/>
      <c r="G22" s="52"/>
    </row>
    <row r="23" spans="1:7" ht="18.75" x14ac:dyDescent="0.2">
      <c r="A23" s="19">
        <v>46286</v>
      </c>
      <c r="B23" s="15">
        <v>46286</v>
      </c>
      <c r="C23" s="42"/>
      <c r="D23" s="43"/>
      <c r="E23" s="43"/>
      <c r="F23" s="44"/>
      <c r="G23" s="52"/>
    </row>
    <row r="24" spans="1:7" ht="18.75" x14ac:dyDescent="0.2">
      <c r="A24" s="19">
        <v>46287</v>
      </c>
      <c r="B24" s="15">
        <v>46287</v>
      </c>
      <c r="C24" s="42"/>
      <c r="D24" s="43"/>
      <c r="E24" s="43"/>
      <c r="F24" s="44"/>
      <c r="G24" s="52"/>
    </row>
    <row r="25" spans="1:7" ht="18.75" x14ac:dyDescent="0.2">
      <c r="A25" s="19">
        <v>46288</v>
      </c>
      <c r="B25" s="15">
        <v>46288</v>
      </c>
      <c r="C25" s="42"/>
      <c r="D25" s="43"/>
      <c r="E25" s="43"/>
      <c r="F25" s="44"/>
      <c r="G25" s="52"/>
    </row>
    <row r="26" spans="1:7" ht="18.75" x14ac:dyDescent="0.2">
      <c r="A26" s="19">
        <v>46289</v>
      </c>
      <c r="B26" s="15">
        <v>46289</v>
      </c>
      <c r="C26" s="42"/>
      <c r="D26" s="43"/>
      <c r="E26" s="43"/>
      <c r="F26" s="44"/>
      <c r="G26" s="52"/>
    </row>
    <row r="27" spans="1:7" ht="18.75" x14ac:dyDescent="0.2">
      <c r="A27" s="19">
        <v>46290</v>
      </c>
      <c r="B27" s="15">
        <v>46290</v>
      </c>
      <c r="C27" s="42"/>
      <c r="D27" s="43"/>
      <c r="E27" s="43"/>
      <c r="F27" s="44"/>
      <c r="G27" s="52"/>
    </row>
    <row r="28" spans="1:7" ht="18.75" x14ac:dyDescent="0.2">
      <c r="A28" s="19">
        <v>46291</v>
      </c>
      <c r="B28" s="57">
        <v>46291</v>
      </c>
      <c r="C28" s="58"/>
      <c r="D28" s="58"/>
      <c r="E28" s="58"/>
      <c r="F28" s="59"/>
      <c r="G28" s="52"/>
    </row>
    <row r="29" spans="1:7" ht="18.75" x14ac:dyDescent="0.2">
      <c r="A29" s="19">
        <v>46292</v>
      </c>
      <c r="B29" s="15">
        <v>46292</v>
      </c>
      <c r="C29" s="42"/>
      <c r="D29" s="43"/>
      <c r="E29" s="43"/>
      <c r="F29" s="44"/>
      <c r="G29" s="52"/>
    </row>
    <row r="30" spans="1:7" ht="18.75" x14ac:dyDescent="0.2">
      <c r="A30" s="19">
        <v>46293</v>
      </c>
      <c r="B30" s="15">
        <v>46293</v>
      </c>
      <c r="C30" s="42"/>
      <c r="D30" s="43"/>
      <c r="E30" s="43"/>
      <c r="F30" s="44"/>
      <c r="G30" s="52"/>
    </row>
    <row r="31" spans="1:7" ht="18.75" x14ac:dyDescent="0.2">
      <c r="A31" s="19">
        <v>46294</v>
      </c>
      <c r="B31" s="15">
        <v>46294</v>
      </c>
      <c r="C31" s="45"/>
      <c r="D31" s="46"/>
      <c r="E31" s="46"/>
      <c r="F31" s="47"/>
      <c r="G31" s="52"/>
    </row>
    <row r="32" spans="1:7" ht="19.5" thickBot="1" x14ac:dyDescent="0.25">
      <c r="A32" s="20">
        <v>46295</v>
      </c>
      <c r="B32" s="26">
        <v>46295</v>
      </c>
      <c r="C32" s="48"/>
      <c r="D32" s="49"/>
      <c r="E32" s="49"/>
      <c r="F32" s="50"/>
      <c r="G32" s="53"/>
    </row>
    <row r="33" spans="1:7" ht="19.5" thickBot="1" x14ac:dyDescent="0.25">
      <c r="A33" s="3"/>
      <c r="B33" s="3"/>
      <c r="C33" s="3"/>
      <c r="D33" s="3"/>
      <c r="E33" s="3"/>
      <c r="F33" s="4"/>
      <c r="G33" s="3"/>
    </row>
    <row r="34" spans="1:7" ht="24" thickBot="1" x14ac:dyDescent="0.25">
      <c r="A34" s="3"/>
      <c r="B34" s="3"/>
      <c r="C34" s="3"/>
      <c r="D34" s="3"/>
      <c r="E34" s="6" t="s">
        <v>56</v>
      </c>
      <c r="F34" s="7">
        <f>SUM(F3:F32)</f>
        <v>0</v>
      </c>
      <c r="G34" s="3"/>
    </row>
    <row r="35" spans="1:7" ht="19.5" thickBot="1" x14ac:dyDescent="0.25">
      <c r="A35" s="3"/>
      <c r="B35" s="3"/>
      <c r="C35" s="3"/>
      <c r="D35" s="3"/>
      <c r="E35" s="3"/>
      <c r="F35" s="3"/>
      <c r="G35" s="3"/>
    </row>
    <row r="36" spans="1:7" ht="23.25" x14ac:dyDescent="0.2">
      <c r="A36" s="3"/>
      <c r="B36" s="3"/>
      <c r="C36" s="3"/>
      <c r="D36" s="3"/>
      <c r="E36" s="22" t="s">
        <v>57</v>
      </c>
      <c r="F36" s="23">
        <f>COUNT(F3:F32)</f>
        <v>0</v>
      </c>
      <c r="G36" s="3"/>
    </row>
    <row r="37" spans="1:7" ht="24" thickBot="1" x14ac:dyDescent="0.25">
      <c r="A37" s="3"/>
      <c r="B37" s="3"/>
      <c r="C37" s="3"/>
      <c r="D37" s="3"/>
      <c r="E37" s="24" t="s">
        <v>58</v>
      </c>
      <c r="F37" s="25">
        <f>30-F36-4</f>
        <v>26</v>
      </c>
      <c r="G37" s="3"/>
    </row>
  </sheetData>
  <mergeCells count="32">
    <mergeCell ref="B1:G1"/>
    <mergeCell ref="G2:G32"/>
    <mergeCell ref="B7:F7"/>
    <mergeCell ref="B14:F14"/>
    <mergeCell ref="B21:F21"/>
    <mergeCell ref="B28:F28"/>
    <mergeCell ref="C3:F3"/>
    <mergeCell ref="C4:F4"/>
    <mergeCell ref="C5:F5"/>
    <mergeCell ref="C6:F6"/>
    <mergeCell ref="C20:F20"/>
    <mergeCell ref="C8:F8"/>
    <mergeCell ref="C9:F9"/>
    <mergeCell ref="C10:F10"/>
    <mergeCell ref="C11:F11"/>
    <mergeCell ref="C12:F12"/>
    <mergeCell ref="C13:F13"/>
    <mergeCell ref="C15:F15"/>
    <mergeCell ref="C16:F16"/>
    <mergeCell ref="C17:F17"/>
    <mergeCell ref="C18:F18"/>
    <mergeCell ref="C19:F19"/>
    <mergeCell ref="C29:F29"/>
    <mergeCell ref="C30:F30"/>
    <mergeCell ref="C31:F31"/>
    <mergeCell ref="C32:F32"/>
    <mergeCell ref="C22:F22"/>
    <mergeCell ref="C23:F23"/>
    <mergeCell ref="C24:F24"/>
    <mergeCell ref="C25:F25"/>
    <mergeCell ref="C26:F26"/>
    <mergeCell ref="C27:F27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B14B3-5707-461B-B50E-F02500A095E6}">
  <dimension ref="A1:D11"/>
  <sheetViews>
    <sheetView rightToLeft="1" tabSelected="1" topLeftCell="A4" workbookViewId="0">
      <selection activeCell="G9" sqref="G9"/>
    </sheetView>
  </sheetViews>
  <sheetFormatPr defaultRowHeight="14.25" x14ac:dyDescent="0.2"/>
  <cols>
    <col min="1" max="1" width="7.75" bestFit="1" customWidth="1"/>
    <col min="2" max="2" width="27" bestFit="1" customWidth="1"/>
    <col min="3" max="3" width="18.375" bestFit="1" customWidth="1"/>
    <col min="4" max="4" width="20.75" bestFit="1" customWidth="1"/>
  </cols>
  <sheetData>
    <row r="1" spans="1:4" ht="46.5" thickBot="1" x14ac:dyDescent="0.25">
      <c r="A1" s="39">
        <v>46266</v>
      </c>
      <c r="B1" s="40"/>
      <c r="C1" s="40"/>
      <c r="D1" s="41"/>
    </row>
    <row r="2" spans="1:4" ht="28.5" thickBot="1" x14ac:dyDescent="0.25">
      <c r="A2" s="36" t="s">
        <v>59</v>
      </c>
      <c r="B2" s="37" t="s">
        <v>49</v>
      </c>
      <c r="C2" s="37" t="s">
        <v>57</v>
      </c>
      <c r="D2" s="38" t="s">
        <v>54</v>
      </c>
    </row>
    <row r="3" spans="1:4" ht="27.75" x14ac:dyDescent="0.2">
      <c r="A3" s="30">
        <v>5</v>
      </c>
      <c r="B3" s="31" t="s">
        <v>6</v>
      </c>
      <c r="C3" s="31">
        <v>17</v>
      </c>
      <c r="D3" s="32">
        <v>125.48333333333332</v>
      </c>
    </row>
    <row r="4" spans="1:4" ht="27.75" x14ac:dyDescent="0.2">
      <c r="A4" s="30">
        <v>7</v>
      </c>
      <c r="B4" s="31" t="s">
        <v>1</v>
      </c>
      <c r="C4" s="31">
        <v>22</v>
      </c>
      <c r="D4" s="32">
        <v>146.96666666666667</v>
      </c>
    </row>
    <row r="5" spans="1:4" ht="27.75" x14ac:dyDescent="0.2">
      <c r="A5" s="30">
        <v>10</v>
      </c>
      <c r="B5" s="31" t="s">
        <v>11</v>
      </c>
      <c r="C5" s="31">
        <v>26</v>
      </c>
      <c r="D5" s="32">
        <v>175.13333333333333</v>
      </c>
    </row>
    <row r="6" spans="1:4" ht="27.75" x14ac:dyDescent="0.2">
      <c r="A6" s="30">
        <v>11</v>
      </c>
      <c r="B6" s="31" t="s">
        <v>17</v>
      </c>
      <c r="C6" s="31">
        <v>21</v>
      </c>
      <c r="D6" s="32">
        <v>151.33333333333331</v>
      </c>
    </row>
    <row r="7" spans="1:4" ht="27.75" x14ac:dyDescent="0.2">
      <c r="A7" s="30">
        <v>14</v>
      </c>
      <c r="B7" s="31" t="s">
        <v>16</v>
      </c>
      <c r="C7" s="31">
        <v>16</v>
      </c>
      <c r="D7" s="32">
        <v>87.95</v>
      </c>
    </row>
    <row r="8" spans="1:4" ht="27.75" x14ac:dyDescent="0.2">
      <c r="A8" s="30">
        <v>15</v>
      </c>
      <c r="B8" s="31" t="s">
        <v>15</v>
      </c>
      <c r="C8" s="31" t="s">
        <v>67</v>
      </c>
      <c r="D8" s="32" t="s">
        <v>67</v>
      </c>
    </row>
    <row r="9" spans="1:4" ht="27.75" x14ac:dyDescent="0.2">
      <c r="A9" s="30">
        <v>19</v>
      </c>
      <c r="B9" s="31" t="s">
        <v>31</v>
      </c>
      <c r="C9" s="31">
        <v>26</v>
      </c>
      <c r="D9" s="32">
        <v>190.10000000000005</v>
      </c>
    </row>
    <row r="10" spans="1:4" ht="27.75" x14ac:dyDescent="0.2">
      <c r="A10" s="30">
        <v>23</v>
      </c>
      <c r="B10" s="31" t="s">
        <v>14</v>
      </c>
      <c r="C10" s="31">
        <v>25</v>
      </c>
      <c r="D10" s="32">
        <v>179.04999999999998</v>
      </c>
    </row>
    <row r="11" spans="1:4" ht="28.5" thickBot="1" x14ac:dyDescent="0.25">
      <c r="A11" s="33">
        <v>25</v>
      </c>
      <c r="B11" s="34" t="s">
        <v>13</v>
      </c>
      <c r="C11" s="34">
        <v>0</v>
      </c>
      <c r="D11" s="35">
        <v>0</v>
      </c>
    </row>
  </sheetData>
  <mergeCells count="1">
    <mergeCell ref="A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Sheet1</vt:lpstr>
      <vt:lpstr>רושדי טאהא .5</vt:lpstr>
      <vt:lpstr>רמי אבו אחמד .7</vt:lpstr>
      <vt:lpstr>סרי אבו אחמד .10</vt:lpstr>
      <vt:lpstr>אברהים משאקי .11</vt:lpstr>
      <vt:lpstr>אברהים גריפאת .14</vt:lpstr>
      <vt:lpstr>אוסאמה סלייח .15</vt:lpstr>
      <vt:lpstr>מאלק שרארה .19</vt:lpstr>
      <vt:lpstr>סלים מסרי .23</vt:lpstr>
      <vt:lpstr>מחמד חמדאן .25</vt:lpstr>
      <vt:lpstr>סיכום</vt:lpstr>
      <vt:lpstr>Sheet1!Sheet1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Hashav</dc:creator>
  <cp:lastModifiedBy>איבט סלייח</cp:lastModifiedBy>
  <cp:lastPrinted>2026-05-01T06:52:32Z</cp:lastPrinted>
  <dcterms:created xsi:type="dcterms:W3CDTF">2015-06-05T18:17:20Z</dcterms:created>
  <dcterms:modified xsi:type="dcterms:W3CDTF">2026-10-15T19:36:00Z</dcterms:modified>
  <cp:contentStatus>printed</cp:contentStatus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test1_1" visible="true" label="שעות עובדים" imageMso="Head" onAction="test1"/>
      </mso:documentControls>
    </mso:qat>
  </mso:ribbon>
</mso:customUI>
</file>